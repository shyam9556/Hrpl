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GHLIGHT\Desktop\"/>
    </mc:Choice>
  </mc:AlternateContent>
  <bookViews>
    <workbookView xWindow="0" yWindow="0" windowWidth="28800" windowHeight="12435" activeTab="1"/>
  </bookViews>
  <sheets>
    <sheet name="KIT COSTING" sheetId="1" r:id="rId1"/>
    <sheet name="4 P" sheetId="3" r:id="rId2"/>
    <sheet name="5 P" sheetId="4" r:id="rId3"/>
    <sheet name="6 P" sheetId="5" r:id="rId4"/>
    <sheet name="7 P" sheetId="6" r:id="rId5"/>
    <sheet name="8 P" sheetId="7" r:id="rId6"/>
    <sheet name="9 P" sheetId="8" r:id="rId7"/>
    <sheet name="10 P" sheetId="9" r:id="rId8"/>
    <sheet name="11 P" sheetId="10" r:id="rId9"/>
    <sheet name="12 P" sheetId="11" r:id="rId10"/>
    <sheet name="13 P" sheetId="12" r:id="rId11"/>
    <sheet name="16 P" sheetId="1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3" l="1"/>
  <c r="I25" i="13"/>
  <c r="J25" i="13"/>
  <c r="F26" i="13"/>
  <c r="G26" i="13" s="1"/>
  <c r="J26" i="13" s="1"/>
  <c r="F25" i="13"/>
  <c r="G25" i="13"/>
  <c r="F26" i="12"/>
  <c r="I26" i="12" s="1"/>
  <c r="G26" i="12"/>
  <c r="J26" i="12" s="1"/>
  <c r="F25" i="12"/>
  <c r="G25" i="12" s="1"/>
  <c r="J25" i="12" s="1"/>
  <c r="F26" i="11"/>
  <c r="I26" i="11" s="1"/>
  <c r="G26" i="11"/>
  <c r="J26" i="11" s="1"/>
  <c r="F25" i="11"/>
  <c r="I25" i="11" s="1"/>
  <c r="G25" i="11"/>
  <c r="J25" i="11" s="1"/>
  <c r="F26" i="10"/>
  <c r="G26" i="10" s="1"/>
  <c r="J26" i="10" s="1"/>
  <c r="F25" i="10"/>
  <c r="G25" i="10" s="1"/>
  <c r="J25" i="10" s="1"/>
  <c r="I26" i="9"/>
  <c r="I25" i="9"/>
  <c r="J25" i="9"/>
  <c r="F26" i="9"/>
  <c r="G26" i="9" s="1"/>
  <c r="J26" i="9" s="1"/>
  <c r="F25" i="9"/>
  <c r="G25" i="9"/>
  <c r="F35" i="13"/>
  <c r="I35" i="13" s="1"/>
  <c r="F34" i="13"/>
  <c r="G34" i="13" s="1"/>
  <c r="J34" i="13" s="1"/>
  <c r="F33" i="13"/>
  <c r="I33" i="13" s="1"/>
  <c r="F32" i="13"/>
  <c r="I32" i="13" s="1"/>
  <c r="F31" i="13"/>
  <c r="G31" i="13" s="1"/>
  <c r="J31" i="13" s="1"/>
  <c r="F30" i="13"/>
  <c r="I30" i="13" s="1"/>
  <c r="F29" i="13"/>
  <c r="G29" i="13" s="1"/>
  <c r="J29" i="13" s="1"/>
  <c r="F28" i="13"/>
  <c r="I28" i="13" s="1"/>
  <c r="F27" i="13"/>
  <c r="I27" i="13" s="1"/>
  <c r="F24" i="13"/>
  <c r="I24" i="13" s="1"/>
  <c r="F23" i="13"/>
  <c r="I23" i="13" s="1"/>
  <c r="F22" i="13"/>
  <c r="G22" i="13" s="1"/>
  <c r="J22" i="13" s="1"/>
  <c r="F21" i="13"/>
  <c r="G21" i="13" s="1"/>
  <c r="J21" i="13" s="1"/>
  <c r="F20" i="13"/>
  <c r="I20" i="13" s="1"/>
  <c r="F19" i="13"/>
  <c r="I19" i="13" s="1"/>
  <c r="F18" i="13"/>
  <c r="I18" i="13" s="1"/>
  <c r="F17" i="13"/>
  <c r="I17" i="13" s="1"/>
  <c r="F16" i="13"/>
  <c r="I16" i="13" s="1"/>
  <c r="F15" i="13"/>
  <c r="I15" i="13" s="1"/>
  <c r="F14" i="13"/>
  <c r="G14" i="13" s="1"/>
  <c r="J14" i="13" s="1"/>
  <c r="F13" i="13"/>
  <c r="I13" i="13" s="1"/>
  <c r="F12" i="13"/>
  <c r="I12" i="13" s="1"/>
  <c r="F11" i="13"/>
  <c r="G11" i="13" s="1"/>
  <c r="J11" i="13" s="1"/>
  <c r="F10" i="13"/>
  <c r="I10" i="13" s="1"/>
  <c r="F9" i="13"/>
  <c r="I9" i="13" s="1"/>
  <c r="F8" i="13"/>
  <c r="I8" i="13" s="1"/>
  <c r="F7" i="13"/>
  <c r="I7" i="13" s="1"/>
  <c r="F6" i="13"/>
  <c r="I6" i="13" s="1"/>
  <c r="F5" i="13"/>
  <c r="I5" i="13" s="1"/>
  <c r="F4" i="13"/>
  <c r="I4" i="13" s="1"/>
  <c r="F3" i="13"/>
  <c r="I3" i="13" s="1"/>
  <c r="I35" i="12"/>
  <c r="G35" i="12"/>
  <c r="J35" i="12" s="1"/>
  <c r="F35" i="12"/>
  <c r="I34" i="12"/>
  <c r="F34" i="12"/>
  <c r="G34" i="12" s="1"/>
  <c r="J34" i="12" s="1"/>
  <c r="F33" i="12"/>
  <c r="I33" i="12" s="1"/>
  <c r="F32" i="12"/>
  <c r="I32" i="12" s="1"/>
  <c r="F31" i="12"/>
  <c r="I31" i="12" s="1"/>
  <c r="F30" i="12"/>
  <c r="G30" i="12" s="1"/>
  <c r="J30" i="12" s="1"/>
  <c r="F29" i="12"/>
  <c r="G29" i="12" s="1"/>
  <c r="J29" i="12" s="1"/>
  <c r="I28" i="12"/>
  <c r="G28" i="12"/>
  <c r="J28" i="12" s="1"/>
  <c r="F28" i="12"/>
  <c r="I27" i="12"/>
  <c r="F27" i="12"/>
  <c r="G27" i="12" s="1"/>
  <c r="J27" i="12" s="1"/>
  <c r="F24" i="12"/>
  <c r="G24" i="12" s="1"/>
  <c r="J24" i="12" s="1"/>
  <c r="F23" i="12"/>
  <c r="G23" i="12" s="1"/>
  <c r="J23" i="12" s="1"/>
  <c r="F22" i="12"/>
  <c r="I22" i="12" s="1"/>
  <c r="F21" i="12"/>
  <c r="G21" i="12" s="1"/>
  <c r="J21" i="12" s="1"/>
  <c r="F20" i="12"/>
  <c r="I20" i="12" s="1"/>
  <c r="I19" i="12"/>
  <c r="G19" i="12"/>
  <c r="J19" i="12" s="1"/>
  <c r="F19" i="12"/>
  <c r="I18" i="12"/>
  <c r="F18" i="12"/>
  <c r="G18" i="12" s="1"/>
  <c r="J18" i="12" s="1"/>
  <c r="F17" i="12"/>
  <c r="I17" i="12" s="1"/>
  <c r="F16" i="12"/>
  <c r="G16" i="12" s="1"/>
  <c r="J16" i="12" s="1"/>
  <c r="F15" i="12"/>
  <c r="I15" i="12" s="1"/>
  <c r="F14" i="12"/>
  <c r="G14" i="12" s="1"/>
  <c r="J14" i="12" s="1"/>
  <c r="F13" i="12"/>
  <c r="G13" i="12" s="1"/>
  <c r="J13" i="12" s="1"/>
  <c r="I12" i="12"/>
  <c r="G12" i="12"/>
  <c r="J12" i="12" s="1"/>
  <c r="F12" i="12"/>
  <c r="I11" i="12"/>
  <c r="F11" i="12"/>
  <c r="G11" i="12" s="1"/>
  <c r="J11" i="12" s="1"/>
  <c r="F10" i="12"/>
  <c r="G10" i="12" s="1"/>
  <c r="J10" i="12" s="1"/>
  <c r="F9" i="12"/>
  <c r="G9" i="12" s="1"/>
  <c r="J9" i="12" s="1"/>
  <c r="F8" i="12"/>
  <c r="I8" i="12" s="1"/>
  <c r="F7" i="12"/>
  <c r="G7" i="12" s="1"/>
  <c r="J7" i="12" s="1"/>
  <c r="F6" i="12"/>
  <c r="I6" i="12" s="1"/>
  <c r="I5" i="12"/>
  <c r="G5" i="12"/>
  <c r="J5" i="12" s="1"/>
  <c r="F5" i="12"/>
  <c r="F4" i="12"/>
  <c r="G4" i="12" s="1"/>
  <c r="J4" i="12" s="1"/>
  <c r="F3" i="12"/>
  <c r="I3" i="12" s="1"/>
  <c r="F35" i="11"/>
  <c r="I35" i="11" s="1"/>
  <c r="F34" i="11"/>
  <c r="G34" i="11" s="1"/>
  <c r="J34" i="11" s="1"/>
  <c r="F33" i="11"/>
  <c r="I33" i="11" s="1"/>
  <c r="G32" i="11"/>
  <c r="J32" i="11" s="1"/>
  <c r="F32" i="11"/>
  <c r="I32" i="11" s="1"/>
  <c r="F31" i="11"/>
  <c r="G31" i="11" s="1"/>
  <c r="J31" i="11" s="1"/>
  <c r="F30" i="11"/>
  <c r="G30" i="11" s="1"/>
  <c r="J30" i="11" s="1"/>
  <c r="F29" i="11"/>
  <c r="G29" i="11" s="1"/>
  <c r="J29" i="11" s="1"/>
  <c r="F28" i="11"/>
  <c r="I28" i="11" s="1"/>
  <c r="F27" i="11"/>
  <c r="G27" i="11" s="1"/>
  <c r="J27" i="11" s="1"/>
  <c r="F24" i="11"/>
  <c r="I24" i="11" s="1"/>
  <c r="F23" i="11"/>
  <c r="I23" i="11" s="1"/>
  <c r="F22" i="11"/>
  <c r="I22" i="11" s="1"/>
  <c r="F21" i="11"/>
  <c r="I21" i="11" s="1"/>
  <c r="F20" i="11"/>
  <c r="I20" i="11" s="1"/>
  <c r="F19" i="11"/>
  <c r="I19" i="11" s="1"/>
  <c r="F18" i="11"/>
  <c r="I18" i="11" s="1"/>
  <c r="F17" i="11"/>
  <c r="I17" i="11" s="1"/>
  <c r="F16" i="11"/>
  <c r="I16" i="11" s="1"/>
  <c r="F15" i="11"/>
  <c r="I15" i="11" s="1"/>
  <c r="F14" i="11"/>
  <c r="I14" i="11" s="1"/>
  <c r="F13" i="11"/>
  <c r="I13" i="11" s="1"/>
  <c r="F12" i="11"/>
  <c r="I12" i="11" s="1"/>
  <c r="F11" i="11"/>
  <c r="I11" i="11" s="1"/>
  <c r="F10" i="11"/>
  <c r="I10" i="11" s="1"/>
  <c r="F9" i="11"/>
  <c r="I9" i="11" s="1"/>
  <c r="F8" i="11"/>
  <c r="I8" i="11" s="1"/>
  <c r="F7" i="11"/>
  <c r="I7" i="11" s="1"/>
  <c r="F6" i="11"/>
  <c r="G6" i="11" s="1"/>
  <c r="J6" i="11" s="1"/>
  <c r="F5" i="11"/>
  <c r="I5" i="11" s="1"/>
  <c r="F4" i="11"/>
  <c r="I4" i="11" s="1"/>
  <c r="F3" i="11"/>
  <c r="I3" i="11" s="1"/>
  <c r="F35" i="10"/>
  <c r="I35" i="10" s="1"/>
  <c r="F34" i="10"/>
  <c r="I34" i="10" s="1"/>
  <c r="F33" i="10"/>
  <c r="I33" i="10" s="1"/>
  <c r="F32" i="10"/>
  <c r="I32" i="10" s="1"/>
  <c r="F31" i="10"/>
  <c r="I31" i="10" s="1"/>
  <c r="F30" i="10"/>
  <c r="I30" i="10" s="1"/>
  <c r="F29" i="10"/>
  <c r="I29" i="10" s="1"/>
  <c r="F28" i="10"/>
  <c r="I28" i="10" s="1"/>
  <c r="F27" i="10"/>
  <c r="I27" i="10" s="1"/>
  <c r="F24" i="10"/>
  <c r="I24" i="10" s="1"/>
  <c r="F23" i="10"/>
  <c r="I23" i="10" s="1"/>
  <c r="F22" i="10"/>
  <c r="I22" i="10" s="1"/>
  <c r="F21" i="10"/>
  <c r="I21" i="10" s="1"/>
  <c r="F20" i="10"/>
  <c r="I20" i="10" s="1"/>
  <c r="F19" i="10"/>
  <c r="I19" i="10" s="1"/>
  <c r="F18" i="10"/>
  <c r="I18" i="10" s="1"/>
  <c r="F17" i="10"/>
  <c r="I17" i="10" s="1"/>
  <c r="F16" i="10"/>
  <c r="G16" i="10" s="1"/>
  <c r="J16" i="10" s="1"/>
  <c r="F15" i="10"/>
  <c r="G15" i="10" s="1"/>
  <c r="J15" i="10" s="1"/>
  <c r="F14" i="10"/>
  <c r="G14" i="10" s="1"/>
  <c r="J14" i="10" s="1"/>
  <c r="F13" i="10"/>
  <c r="G13" i="10" s="1"/>
  <c r="J13" i="10" s="1"/>
  <c r="F12" i="10"/>
  <c r="I12" i="10" s="1"/>
  <c r="F11" i="10"/>
  <c r="I11" i="10" s="1"/>
  <c r="F10" i="10"/>
  <c r="I10" i="10" s="1"/>
  <c r="F9" i="10"/>
  <c r="I9" i="10" s="1"/>
  <c r="F8" i="10"/>
  <c r="I8" i="10" s="1"/>
  <c r="F7" i="10"/>
  <c r="G7" i="10" s="1"/>
  <c r="J7" i="10" s="1"/>
  <c r="F6" i="10"/>
  <c r="G6" i="10" s="1"/>
  <c r="J6" i="10" s="1"/>
  <c r="F5" i="10"/>
  <c r="I5" i="10" s="1"/>
  <c r="F4" i="10"/>
  <c r="I4" i="10" s="1"/>
  <c r="F3" i="10"/>
  <c r="I3" i="10" s="1"/>
  <c r="F35" i="9"/>
  <c r="I35" i="9" s="1"/>
  <c r="F34" i="9"/>
  <c r="I34" i="9" s="1"/>
  <c r="F33" i="9"/>
  <c r="I33" i="9" s="1"/>
  <c r="F32" i="9"/>
  <c r="I32" i="9" s="1"/>
  <c r="F31" i="9"/>
  <c r="G31" i="9" s="1"/>
  <c r="J31" i="9" s="1"/>
  <c r="I30" i="9"/>
  <c r="F30" i="9"/>
  <c r="G30" i="9" s="1"/>
  <c r="J30" i="9" s="1"/>
  <c r="F29" i="9"/>
  <c r="I29" i="9" s="1"/>
  <c r="F28" i="9"/>
  <c r="I28" i="9" s="1"/>
  <c r="F27" i="9"/>
  <c r="I27" i="9" s="1"/>
  <c r="F24" i="9"/>
  <c r="I24" i="9" s="1"/>
  <c r="F23" i="9"/>
  <c r="I23" i="9" s="1"/>
  <c r="F22" i="9"/>
  <c r="I22" i="9" s="1"/>
  <c r="F21" i="9"/>
  <c r="G21" i="9" s="1"/>
  <c r="J21" i="9" s="1"/>
  <c r="F20" i="9"/>
  <c r="G20" i="9" s="1"/>
  <c r="J20" i="9" s="1"/>
  <c r="F19" i="9"/>
  <c r="I19" i="9" s="1"/>
  <c r="F18" i="9"/>
  <c r="I18" i="9" s="1"/>
  <c r="F17" i="9"/>
  <c r="I17" i="9" s="1"/>
  <c r="F16" i="9"/>
  <c r="I16" i="9" s="1"/>
  <c r="F15" i="9"/>
  <c r="G15" i="9" s="1"/>
  <c r="J15" i="9" s="1"/>
  <c r="F14" i="9"/>
  <c r="I14" i="9" s="1"/>
  <c r="F13" i="9"/>
  <c r="G13" i="9" s="1"/>
  <c r="J13" i="9" s="1"/>
  <c r="F12" i="9"/>
  <c r="I12" i="9" s="1"/>
  <c r="F11" i="9"/>
  <c r="I11" i="9" s="1"/>
  <c r="F10" i="9"/>
  <c r="I10" i="9" s="1"/>
  <c r="F9" i="9"/>
  <c r="I9" i="9" s="1"/>
  <c r="F8" i="9"/>
  <c r="I8" i="9" s="1"/>
  <c r="F7" i="9"/>
  <c r="G7" i="9" s="1"/>
  <c r="J7" i="9" s="1"/>
  <c r="F6" i="9"/>
  <c r="I6" i="9" s="1"/>
  <c r="F5" i="9"/>
  <c r="I5" i="9" s="1"/>
  <c r="F4" i="9"/>
  <c r="I4" i="9" s="1"/>
  <c r="F3" i="9"/>
  <c r="I3" i="9" s="1"/>
  <c r="F33" i="8"/>
  <c r="I33" i="8" s="1"/>
  <c r="F32" i="8"/>
  <c r="I32" i="8" s="1"/>
  <c r="F31" i="8"/>
  <c r="I31" i="8" s="1"/>
  <c r="F30" i="8"/>
  <c r="I30" i="8" s="1"/>
  <c r="F29" i="8"/>
  <c r="G29" i="8" s="1"/>
  <c r="J29" i="8" s="1"/>
  <c r="F28" i="8"/>
  <c r="G28" i="8" s="1"/>
  <c r="J28" i="8" s="1"/>
  <c r="F27" i="8"/>
  <c r="I27" i="8" s="1"/>
  <c r="F26" i="8"/>
  <c r="I26" i="8" s="1"/>
  <c r="F25" i="8"/>
  <c r="I25" i="8" s="1"/>
  <c r="F24" i="8"/>
  <c r="I24" i="8" s="1"/>
  <c r="F23" i="8"/>
  <c r="I23" i="8" s="1"/>
  <c r="F22" i="8"/>
  <c r="I22" i="8" s="1"/>
  <c r="F21" i="8"/>
  <c r="G21" i="8" s="1"/>
  <c r="J21" i="8" s="1"/>
  <c r="F20" i="8"/>
  <c r="I20" i="8" s="1"/>
  <c r="F19" i="8"/>
  <c r="I19" i="8" s="1"/>
  <c r="F18" i="8"/>
  <c r="I18" i="8" s="1"/>
  <c r="F17" i="8"/>
  <c r="I17" i="8" s="1"/>
  <c r="F16" i="8"/>
  <c r="G16" i="8" s="1"/>
  <c r="J16" i="8" s="1"/>
  <c r="F15" i="8"/>
  <c r="I15" i="8" s="1"/>
  <c r="F14" i="8"/>
  <c r="I14" i="8" s="1"/>
  <c r="F13" i="8"/>
  <c r="G13" i="8" s="1"/>
  <c r="J13" i="8" s="1"/>
  <c r="F12" i="8"/>
  <c r="I12" i="8" s="1"/>
  <c r="F11" i="8"/>
  <c r="I11" i="8" s="1"/>
  <c r="F10" i="8"/>
  <c r="I10" i="8" s="1"/>
  <c r="F9" i="8"/>
  <c r="I9" i="8" s="1"/>
  <c r="F8" i="8"/>
  <c r="G8" i="8" s="1"/>
  <c r="J8" i="8" s="1"/>
  <c r="F7" i="8"/>
  <c r="I7" i="8" s="1"/>
  <c r="F6" i="8"/>
  <c r="I6" i="8" s="1"/>
  <c r="F5" i="8"/>
  <c r="I5" i="8" s="1"/>
  <c r="F4" i="8"/>
  <c r="I4" i="8" s="1"/>
  <c r="F3" i="8"/>
  <c r="I3" i="8" s="1"/>
  <c r="I33" i="7"/>
  <c r="F33" i="7"/>
  <c r="G33" i="7" s="1"/>
  <c r="J33" i="7" s="1"/>
  <c r="F32" i="7"/>
  <c r="G32" i="7" s="1"/>
  <c r="J32" i="7" s="1"/>
  <c r="F31" i="7"/>
  <c r="I31" i="7" s="1"/>
  <c r="F30" i="7"/>
  <c r="I30" i="7" s="1"/>
  <c r="F29" i="7"/>
  <c r="G29" i="7" s="1"/>
  <c r="J29" i="7" s="1"/>
  <c r="F28" i="7"/>
  <c r="I28" i="7" s="1"/>
  <c r="F27" i="7"/>
  <c r="G27" i="7" s="1"/>
  <c r="J27" i="7" s="1"/>
  <c r="I26" i="7"/>
  <c r="F26" i="7"/>
  <c r="G26" i="7" s="1"/>
  <c r="J26" i="7" s="1"/>
  <c r="F25" i="7"/>
  <c r="I25" i="7" s="1"/>
  <c r="F24" i="7"/>
  <c r="I24" i="7" s="1"/>
  <c r="F23" i="7"/>
  <c r="I23" i="7" s="1"/>
  <c r="F22" i="7"/>
  <c r="G22" i="7" s="1"/>
  <c r="J22" i="7" s="1"/>
  <c r="F21" i="7"/>
  <c r="G21" i="7" s="1"/>
  <c r="J21" i="7" s="1"/>
  <c r="F20" i="7"/>
  <c r="I20" i="7" s="1"/>
  <c r="I19" i="7"/>
  <c r="F19" i="7"/>
  <c r="G19" i="7" s="1"/>
  <c r="J19" i="7" s="1"/>
  <c r="F18" i="7"/>
  <c r="G18" i="7" s="1"/>
  <c r="J18" i="7" s="1"/>
  <c r="F17" i="7"/>
  <c r="I17" i="7" s="1"/>
  <c r="F16" i="7"/>
  <c r="G16" i="7" s="1"/>
  <c r="J16" i="7" s="1"/>
  <c r="F15" i="7"/>
  <c r="G15" i="7" s="1"/>
  <c r="J15" i="7" s="1"/>
  <c r="F14" i="7"/>
  <c r="I14" i="7" s="1"/>
  <c r="F13" i="7"/>
  <c r="G13" i="7" s="1"/>
  <c r="J13" i="7" s="1"/>
  <c r="I12" i="7"/>
  <c r="F12" i="7"/>
  <c r="G12" i="7" s="1"/>
  <c r="J12" i="7" s="1"/>
  <c r="F11" i="7"/>
  <c r="I11" i="7" s="1"/>
  <c r="F10" i="7"/>
  <c r="I10" i="7" s="1"/>
  <c r="F9" i="7"/>
  <c r="I9" i="7" s="1"/>
  <c r="F8" i="7"/>
  <c r="G8" i="7" s="1"/>
  <c r="J8" i="7" s="1"/>
  <c r="F7" i="7"/>
  <c r="G7" i="7" s="1"/>
  <c r="J7" i="7" s="1"/>
  <c r="F6" i="7"/>
  <c r="I6" i="7" s="1"/>
  <c r="I5" i="7"/>
  <c r="F5" i="7"/>
  <c r="G5" i="7" s="1"/>
  <c r="J5" i="7" s="1"/>
  <c r="F4" i="7"/>
  <c r="G4" i="7" s="1"/>
  <c r="J4" i="7" s="1"/>
  <c r="F3" i="7"/>
  <c r="I3" i="7" s="1"/>
  <c r="F33" i="6"/>
  <c r="I33" i="6" s="1"/>
  <c r="F32" i="6"/>
  <c r="I32" i="6" s="1"/>
  <c r="F31" i="6"/>
  <c r="G31" i="6" s="1"/>
  <c r="J31" i="6" s="1"/>
  <c r="F30" i="6"/>
  <c r="G30" i="6" s="1"/>
  <c r="J30" i="6" s="1"/>
  <c r="F29" i="6"/>
  <c r="G29" i="6" s="1"/>
  <c r="J29" i="6" s="1"/>
  <c r="F28" i="6"/>
  <c r="I28" i="6" s="1"/>
  <c r="F27" i="6"/>
  <c r="I27" i="6" s="1"/>
  <c r="F26" i="6"/>
  <c r="I26" i="6" s="1"/>
  <c r="F25" i="6"/>
  <c r="I25" i="6" s="1"/>
  <c r="F24" i="6"/>
  <c r="G24" i="6" s="1"/>
  <c r="J24" i="6" s="1"/>
  <c r="F23" i="6"/>
  <c r="I23" i="6" s="1"/>
  <c r="F22" i="6"/>
  <c r="I22" i="6" s="1"/>
  <c r="F21" i="6"/>
  <c r="I21" i="6" s="1"/>
  <c r="F20" i="6"/>
  <c r="G20" i="6" s="1"/>
  <c r="J20" i="6" s="1"/>
  <c r="F19" i="6"/>
  <c r="I19" i="6" s="1"/>
  <c r="F18" i="6"/>
  <c r="I18" i="6" s="1"/>
  <c r="F17" i="6"/>
  <c r="G17" i="6" s="1"/>
  <c r="J17" i="6" s="1"/>
  <c r="I16" i="6"/>
  <c r="F16" i="6"/>
  <c r="G16" i="6" s="1"/>
  <c r="J16" i="6" s="1"/>
  <c r="F15" i="6"/>
  <c r="I15" i="6" s="1"/>
  <c r="F14" i="6"/>
  <c r="I14" i="6" s="1"/>
  <c r="F13" i="6"/>
  <c r="I13" i="6" s="1"/>
  <c r="F12" i="6"/>
  <c r="I12" i="6" s="1"/>
  <c r="F11" i="6"/>
  <c r="I11" i="6" s="1"/>
  <c r="F10" i="6"/>
  <c r="I10" i="6" s="1"/>
  <c r="F9" i="6"/>
  <c r="I9" i="6" s="1"/>
  <c r="F8" i="6"/>
  <c r="G8" i="6" s="1"/>
  <c r="J8" i="6" s="1"/>
  <c r="F7" i="6"/>
  <c r="I7" i="6" s="1"/>
  <c r="F6" i="6"/>
  <c r="I6" i="6" s="1"/>
  <c r="F5" i="6"/>
  <c r="I5" i="6" s="1"/>
  <c r="F4" i="6"/>
  <c r="I4" i="6" s="1"/>
  <c r="F3" i="6"/>
  <c r="I3" i="6" s="1"/>
  <c r="F33" i="5"/>
  <c r="I33" i="5" s="1"/>
  <c r="F32" i="5"/>
  <c r="I32" i="5" s="1"/>
  <c r="F31" i="5"/>
  <c r="I31" i="5" s="1"/>
  <c r="F30" i="5"/>
  <c r="I30" i="5" s="1"/>
  <c r="F29" i="5"/>
  <c r="I29" i="5" s="1"/>
  <c r="F28" i="5"/>
  <c r="I28" i="5" s="1"/>
  <c r="F27" i="5"/>
  <c r="I27" i="5" s="1"/>
  <c r="F26" i="5"/>
  <c r="I26" i="5" s="1"/>
  <c r="F25" i="5"/>
  <c r="I25" i="5" s="1"/>
  <c r="F24" i="5"/>
  <c r="I24" i="5" s="1"/>
  <c r="F23" i="5"/>
  <c r="G23" i="5" s="1"/>
  <c r="J23" i="5" s="1"/>
  <c r="F22" i="5"/>
  <c r="I22" i="5" s="1"/>
  <c r="F21" i="5"/>
  <c r="I21" i="5" s="1"/>
  <c r="F20" i="5"/>
  <c r="G20" i="5" s="1"/>
  <c r="J20" i="5" s="1"/>
  <c r="F19" i="5"/>
  <c r="I19" i="5" s="1"/>
  <c r="F18" i="5"/>
  <c r="I18" i="5" s="1"/>
  <c r="F17" i="5"/>
  <c r="I17" i="5" s="1"/>
  <c r="F16" i="5"/>
  <c r="G16" i="5" s="1"/>
  <c r="J16" i="5" s="1"/>
  <c r="F15" i="5"/>
  <c r="I15" i="5" s="1"/>
  <c r="F14" i="5"/>
  <c r="G14" i="5" s="1"/>
  <c r="J14" i="5" s="1"/>
  <c r="F13" i="5"/>
  <c r="I13" i="5" s="1"/>
  <c r="F12" i="5"/>
  <c r="I12" i="5" s="1"/>
  <c r="F11" i="5"/>
  <c r="I11" i="5" s="1"/>
  <c r="F10" i="5"/>
  <c r="I10" i="5" s="1"/>
  <c r="F9" i="5"/>
  <c r="I9" i="5" s="1"/>
  <c r="F8" i="5"/>
  <c r="G8" i="5" s="1"/>
  <c r="J8" i="5" s="1"/>
  <c r="F7" i="5"/>
  <c r="I7" i="5" s="1"/>
  <c r="F6" i="5"/>
  <c r="I6" i="5" s="1"/>
  <c r="F5" i="5"/>
  <c r="I5" i="5" s="1"/>
  <c r="F4" i="5"/>
  <c r="I4" i="5" s="1"/>
  <c r="F3" i="5"/>
  <c r="I3" i="5" s="1"/>
  <c r="F32" i="4"/>
  <c r="I32" i="4" s="1"/>
  <c r="F31" i="4"/>
  <c r="I31" i="4" s="1"/>
  <c r="F30" i="4"/>
  <c r="I30" i="4" s="1"/>
  <c r="F29" i="4"/>
  <c r="G29" i="4" s="1"/>
  <c r="J29" i="4" s="1"/>
  <c r="F28" i="4"/>
  <c r="I28" i="4" s="1"/>
  <c r="F27" i="4"/>
  <c r="G27" i="4" s="1"/>
  <c r="J27" i="4" s="1"/>
  <c r="F26" i="4"/>
  <c r="I26" i="4" s="1"/>
  <c r="F25" i="4"/>
  <c r="G25" i="4" s="1"/>
  <c r="J25" i="4" s="1"/>
  <c r="F24" i="4"/>
  <c r="I24" i="4" s="1"/>
  <c r="F23" i="4"/>
  <c r="I23" i="4" s="1"/>
  <c r="F22" i="4"/>
  <c r="G22" i="4" s="1"/>
  <c r="J22" i="4" s="1"/>
  <c r="F21" i="4"/>
  <c r="G21" i="4" s="1"/>
  <c r="J21" i="4" s="1"/>
  <c r="F20" i="4"/>
  <c r="I20" i="4" s="1"/>
  <c r="F19" i="4"/>
  <c r="I19" i="4" s="1"/>
  <c r="F18" i="4"/>
  <c r="I18" i="4" s="1"/>
  <c r="F17" i="4"/>
  <c r="I17" i="4" s="1"/>
  <c r="F16" i="4"/>
  <c r="I16" i="4" s="1"/>
  <c r="F15" i="4"/>
  <c r="G15" i="4" s="1"/>
  <c r="J15" i="4" s="1"/>
  <c r="F14" i="4"/>
  <c r="G14" i="4" s="1"/>
  <c r="J14" i="4" s="1"/>
  <c r="F13" i="4"/>
  <c r="I13" i="4" s="1"/>
  <c r="F12" i="4"/>
  <c r="I12" i="4" s="1"/>
  <c r="F11" i="4"/>
  <c r="I11" i="4" s="1"/>
  <c r="F10" i="4"/>
  <c r="I10" i="4" s="1"/>
  <c r="F9" i="4"/>
  <c r="G9" i="4" s="1"/>
  <c r="J9" i="4" s="1"/>
  <c r="F8" i="4"/>
  <c r="I8" i="4" s="1"/>
  <c r="F7" i="4"/>
  <c r="I7" i="4" s="1"/>
  <c r="F6" i="4"/>
  <c r="I6" i="4" s="1"/>
  <c r="F5" i="4"/>
  <c r="I5" i="4" s="1"/>
  <c r="F4" i="4"/>
  <c r="G4" i="4" s="1"/>
  <c r="J4" i="4" s="1"/>
  <c r="F3" i="4"/>
  <c r="I3" i="4" s="1"/>
  <c r="F32" i="3"/>
  <c r="I32" i="3" s="1"/>
  <c r="F31" i="3"/>
  <c r="I31" i="3" s="1"/>
  <c r="F30" i="3"/>
  <c r="G30" i="3" s="1"/>
  <c r="J30" i="3" s="1"/>
  <c r="F29" i="3"/>
  <c r="I29" i="3" s="1"/>
  <c r="F28" i="3"/>
  <c r="I28" i="3" s="1"/>
  <c r="F27" i="3"/>
  <c r="G27" i="3" s="1"/>
  <c r="J27" i="3" s="1"/>
  <c r="F26" i="3"/>
  <c r="I26" i="3" s="1"/>
  <c r="F25" i="3"/>
  <c r="I25" i="3" s="1"/>
  <c r="F24" i="3"/>
  <c r="G24" i="3" s="1"/>
  <c r="J24" i="3" s="1"/>
  <c r="F23" i="3"/>
  <c r="I23" i="3" s="1"/>
  <c r="F22" i="3"/>
  <c r="I22" i="3" s="1"/>
  <c r="F21" i="3"/>
  <c r="I21" i="3" s="1"/>
  <c r="F20" i="3"/>
  <c r="I20" i="3" s="1"/>
  <c r="F19" i="3"/>
  <c r="I19" i="3" s="1"/>
  <c r="F18" i="3"/>
  <c r="I18" i="3" s="1"/>
  <c r="F17" i="3"/>
  <c r="G17" i="3" s="1"/>
  <c r="J17" i="3" s="1"/>
  <c r="F16" i="3"/>
  <c r="I16" i="3" s="1"/>
  <c r="F15" i="3"/>
  <c r="I15" i="3" s="1"/>
  <c r="F14" i="3"/>
  <c r="I14" i="3" s="1"/>
  <c r="F13" i="3"/>
  <c r="I13" i="3" s="1"/>
  <c r="F12" i="3"/>
  <c r="G12" i="3" s="1"/>
  <c r="J12" i="3" s="1"/>
  <c r="F11" i="3"/>
  <c r="I11" i="3" s="1"/>
  <c r="F10" i="3"/>
  <c r="I10" i="3" s="1"/>
  <c r="F9" i="3"/>
  <c r="G9" i="3" s="1"/>
  <c r="J9" i="3" s="1"/>
  <c r="F8" i="3"/>
  <c r="I8" i="3" s="1"/>
  <c r="F7" i="3"/>
  <c r="G7" i="3" s="1"/>
  <c r="J7" i="3" s="1"/>
  <c r="F6" i="3"/>
  <c r="G6" i="3" s="1"/>
  <c r="J6" i="3" s="1"/>
  <c r="F5" i="3"/>
  <c r="I5" i="3" s="1"/>
  <c r="F4" i="3"/>
  <c r="G4" i="3" s="1"/>
  <c r="J4" i="3" s="1"/>
  <c r="F3" i="3"/>
  <c r="G3" i="3" s="1"/>
  <c r="I27" i="3" l="1"/>
  <c r="I9" i="3"/>
  <c r="I3" i="3"/>
  <c r="I25" i="12"/>
  <c r="I26" i="10"/>
  <c r="I25" i="10"/>
  <c r="G13" i="13"/>
  <c r="J13" i="13" s="1"/>
  <c r="G7" i="13"/>
  <c r="J7" i="13" s="1"/>
  <c r="I14" i="13"/>
  <c r="G8" i="13"/>
  <c r="J8" i="13" s="1"/>
  <c r="G15" i="13"/>
  <c r="J15" i="13" s="1"/>
  <c r="I22" i="13"/>
  <c r="I31" i="13"/>
  <c r="G9" i="13"/>
  <c r="J9" i="13" s="1"/>
  <c r="G16" i="13"/>
  <c r="J16" i="13" s="1"/>
  <c r="G23" i="13"/>
  <c r="J23" i="13" s="1"/>
  <c r="G32" i="13"/>
  <c r="J32" i="13" s="1"/>
  <c r="G3" i="13"/>
  <c r="J3" i="13" s="1"/>
  <c r="G10" i="13"/>
  <c r="J10" i="13" s="1"/>
  <c r="G17" i="13"/>
  <c r="J17" i="13" s="1"/>
  <c r="G24" i="13"/>
  <c r="J24" i="13" s="1"/>
  <c r="G33" i="13"/>
  <c r="J33" i="13" s="1"/>
  <c r="G6" i="13"/>
  <c r="J6" i="13" s="1"/>
  <c r="I29" i="13"/>
  <c r="G30" i="13"/>
  <c r="J30" i="13" s="1"/>
  <c r="G20" i="13"/>
  <c r="J20" i="13" s="1"/>
  <c r="I21" i="13"/>
  <c r="G4" i="13"/>
  <c r="J4" i="13" s="1"/>
  <c r="G18" i="13"/>
  <c r="J18" i="13" s="1"/>
  <c r="G27" i="13"/>
  <c r="J27" i="13" s="1"/>
  <c r="I11" i="13"/>
  <c r="I34" i="13"/>
  <c r="G5" i="13"/>
  <c r="J5" i="13" s="1"/>
  <c r="G12" i="13"/>
  <c r="J12" i="13" s="1"/>
  <c r="G19" i="13"/>
  <c r="J19" i="13" s="1"/>
  <c r="G28" i="13"/>
  <c r="J28" i="13" s="1"/>
  <c r="G35" i="13"/>
  <c r="J35" i="13" s="1"/>
  <c r="I4" i="12"/>
  <c r="G20" i="12"/>
  <c r="J20" i="12" s="1"/>
  <c r="I7" i="12"/>
  <c r="G22" i="12"/>
  <c r="J22" i="12" s="1"/>
  <c r="G32" i="12"/>
  <c r="J32" i="12" s="1"/>
  <c r="I9" i="12"/>
  <c r="I16" i="12"/>
  <c r="I23" i="12"/>
  <c r="G6" i="12"/>
  <c r="J6" i="12" s="1"/>
  <c r="I14" i="12"/>
  <c r="G8" i="12"/>
  <c r="J8" i="12" s="1"/>
  <c r="G3" i="12"/>
  <c r="J3" i="12" s="1"/>
  <c r="G17" i="12"/>
  <c r="J17" i="12" s="1"/>
  <c r="G33" i="12"/>
  <c r="J33" i="12" s="1"/>
  <c r="I10" i="12"/>
  <c r="I24" i="12"/>
  <c r="I29" i="12"/>
  <c r="I30" i="12"/>
  <c r="G31" i="12"/>
  <c r="J31" i="12" s="1"/>
  <c r="I13" i="12"/>
  <c r="G15" i="12"/>
  <c r="J15" i="12" s="1"/>
  <c r="I21" i="12"/>
  <c r="I29" i="11"/>
  <c r="G22" i="11"/>
  <c r="J22" i="11" s="1"/>
  <c r="I6" i="11"/>
  <c r="I30" i="11"/>
  <c r="G8" i="11"/>
  <c r="J8" i="11" s="1"/>
  <c r="G9" i="11"/>
  <c r="J9" i="11" s="1"/>
  <c r="G16" i="11"/>
  <c r="J16" i="11" s="1"/>
  <c r="G23" i="11"/>
  <c r="J23" i="11" s="1"/>
  <c r="G13" i="11"/>
  <c r="J13" i="11" s="1"/>
  <c r="I31" i="11"/>
  <c r="F36" i="11"/>
  <c r="G3" i="11"/>
  <c r="J3" i="11" s="1"/>
  <c r="G10" i="11"/>
  <c r="J10" i="11" s="1"/>
  <c r="G17" i="11"/>
  <c r="J17" i="11" s="1"/>
  <c r="G24" i="11"/>
  <c r="J24" i="11" s="1"/>
  <c r="G33" i="11"/>
  <c r="J33" i="11" s="1"/>
  <c r="G7" i="11"/>
  <c r="J7" i="11" s="1"/>
  <c r="G18" i="11"/>
  <c r="J18" i="11" s="1"/>
  <c r="I34" i="11"/>
  <c r="G20" i="11"/>
  <c r="J20" i="11" s="1"/>
  <c r="G21" i="11"/>
  <c r="J21" i="11" s="1"/>
  <c r="G4" i="11"/>
  <c r="J4" i="11" s="1"/>
  <c r="G11" i="11"/>
  <c r="J11" i="11" s="1"/>
  <c r="I27" i="11"/>
  <c r="G5" i="11"/>
  <c r="J5" i="11" s="1"/>
  <c r="G12" i="11"/>
  <c r="J12" i="11" s="1"/>
  <c r="G19" i="11"/>
  <c r="J19" i="11" s="1"/>
  <c r="G28" i="11"/>
  <c r="J28" i="11" s="1"/>
  <c r="G35" i="11"/>
  <c r="J35" i="11" s="1"/>
  <c r="G14" i="11"/>
  <c r="J14" i="11" s="1"/>
  <c r="G15" i="11"/>
  <c r="J15" i="11" s="1"/>
  <c r="G20" i="10"/>
  <c r="J20" i="10" s="1"/>
  <c r="G30" i="10"/>
  <c r="J30" i="10" s="1"/>
  <c r="I14" i="10"/>
  <c r="G8" i="10"/>
  <c r="J8" i="10" s="1"/>
  <c r="G22" i="10"/>
  <c r="J22" i="10" s="1"/>
  <c r="I15" i="10"/>
  <c r="G23" i="10"/>
  <c r="J23" i="10" s="1"/>
  <c r="I6" i="10"/>
  <c r="G21" i="10"/>
  <c r="J21" i="10" s="1"/>
  <c r="I7" i="10"/>
  <c r="G31" i="10"/>
  <c r="J31" i="10" s="1"/>
  <c r="G9" i="10"/>
  <c r="J9" i="10" s="1"/>
  <c r="G32" i="10"/>
  <c r="J32" i="10" s="1"/>
  <c r="I16" i="10"/>
  <c r="G3" i="10"/>
  <c r="J3" i="10" s="1"/>
  <c r="G10" i="10"/>
  <c r="J10" i="10" s="1"/>
  <c r="G17" i="10"/>
  <c r="J17" i="10" s="1"/>
  <c r="G24" i="10"/>
  <c r="J24" i="10" s="1"/>
  <c r="G33" i="10"/>
  <c r="J33" i="10" s="1"/>
  <c r="I13" i="10"/>
  <c r="G29" i="10"/>
  <c r="J29" i="10" s="1"/>
  <c r="G4" i="10"/>
  <c r="J4" i="10" s="1"/>
  <c r="G11" i="10"/>
  <c r="J11" i="10" s="1"/>
  <c r="G18" i="10"/>
  <c r="J18" i="10" s="1"/>
  <c r="G27" i="10"/>
  <c r="J27" i="10" s="1"/>
  <c r="G34" i="10"/>
  <c r="J34" i="10" s="1"/>
  <c r="G5" i="10"/>
  <c r="J5" i="10" s="1"/>
  <c r="G12" i="10"/>
  <c r="J12" i="10" s="1"/>
  <c r="G19" i="10"/>
  <c r="J19" i="10" s="1"/>
  <c r="G28" i="10"/>
  <c r="J28" i="10" s="1"/>
  <c r="G35" i="10"/>
  <c r="J35" i="10" s="1"/>
  <c r="G6" i="9"/>
  <c r="J6" i="9" s="1"/>
  <c r="I21" i="9"/>
  <c r="I31" i="9"/>
  <c r="G9" i="9"/>
  <c r="J9" i="9" s="1"/>
  <c r="G16" i="9"/>
  <c r="J16" i="9" s="1"/>
  <c r="G3" i="9"/>
  <c r="J3" i="9" s="1"/>
  <c r="G10" i="9"/>
  <c r="J10" i="9" s="1"/>
  <c r="G17" i="9"/>
  <c r="J17" i="9" s="1"/>
  <c r="G24" i="9"/>
  <c r="J24" i="9" s="1"/>
  <c r="G33" i="9"/>
  <c r="J33" i="9" s="1"/>
  <c r="I20" i="9"/>
  <c r="I7" i="9"/>
  <c r="I15" i="9"/>
  <c r="G22" i="9"/>
  <c r="J22" i="9" s="1"/>
  <c r="I13" i="9"/>
  <c r="G14" i="9"/>
  <c r="J14" i="9" s="1"/>
  <c r="G8" i="9"/>
  <c r="J8" i="9" s="1"/>
  <c r="G32" i="9"/>
  <c r="J32" i="9" s="1"/>
  <c r="G4" i="9"/>
  <c r="J4" i="9" s="1"/>
  <c r="G11" i="9"/>
  <c r="J11" i="9" s="1"/>
  <c r="G18" i="9"/>
  <c r="J18" i="9" s="1"/>
  <c r="G27" i="9"/>
  <c r="J27" i="9" s="1"/>
  <c r="G34" i="9"/>
  <c r="J34" i="9" s="1"/>
  <c r="G29" i="9"/>
  <c r="J29" i="9" s="1"/>
  <c r="G23" i="9"/>
  <c r="J23" i="9" s="1"/>
  <c r="G5" i="9"/>
  <c r="J5" i="9" s="1"/>
  <c r="G12" i="9"/>
  <c r="J12" i="9" s="1"/>
  <c r="G19" i="9"/>
  <c r="J19" i="9" s="1"/>
  <c r="G28" i="9"/>
  <c r="J28" i="9" s="1"/>
  <c r="G35" i="9"/>
  <c r="J35" i="9" s="1"/>
  <c r="G6" i="8"/>
  <c r="J6" i="8" s="1"/>
  <c r="I13" i="8"/>
  <c r="G14" i="8"/>
  <c r="J14" i="8" s="1"/>
  <c r="I21" i="8"/>
  <c r="G22" i="8"/>
  <c r="J22" i="8" s="1"/>
  <c r="I8" i="8"/>
  <c r="I29" i="8"/>
  <c r="G23" i="8"/>
  <c r="J23" i="8" s="1"/>
  <c r="I16" i="8"/>
  <c r="G3" i="8"/>
  <c r="J3" i="8" s="1"/>
  <c r="G10" i="8"/>
  <c r="J10" i="8" s="1"/>
  <c r="G17" i="8"/>
  <c r="J17" i="8" s="1"/>
  <c r="G24" i="8"/>
  <c r="J24" i="8" s="1"/>
  <c r="G31" i="8"/>
  <c r="J31" i="8" s="1"/>
  <c r="G20" i="8"/>
  <c r="J20" i="8" s="1"/>
  <c r="G27" i="8"/>
  <c r="J27" i="8" s="1"/>
  <c r="I28" i="8"/>
  <c r="G15" i="8"/>
  <c r="J15" i="8" s="1"/>
  <c r="G9" i="8"/>
  <c r="J9" i="8" s="1"/>
  <c r="G30" i="8"/>
  <c r="J30" i="8" s="1"/>
  <c r="G4" i="8"/>
  <c r="J4" i="8" s="1"/>
  <c r="G11" i="8"/>
  <c r="J11" i="8" s="1"/>
  <c r="G18" i="8"/>
  <c r="J18" i="8" s="1"/>
  <c r="G25" i="8"/>
  <c r="J25" i="8" s="1"/>
  <c r="G32" i="8"/>
  <c r="J32" i="8" s="1"/>
  <c r="G7" i="8"/>
  <c r="J7" i="8" s="1"/>
  <c r="G5" i="8"/>
  <c r="J5" i="8" s="1"/>
  <c r="G12" i="8"/>
  <c r="J12" i="8" s="1"/>
  <c r="G19" i="8"/>
  <c r="J19" i="8" s="1"/>
  <c r="G26" i="8"/>
  <c r="J26" i="8" s="1"/>
  <c r="G33" i="8"/>
  <c r="J33" i="8" s="1"/>
  <c r="G6" i="7"/>
  <c r="J6" i="7" s="1"/>
  <c r="I21" i="7"/>
  <c r="I29" i="7"/>
  <c r="G9" i="7"/>
  <c r="J9" i="7" s="1"/>
  <c r="I16" i="7"/>
  <c r="G3" i="7"/>
  <c r="J3" i="7" s="1"/>
  <c r="G10" i="7"/>
  <c r="J10" i="7" s="1"/>
  <c r="G17" i="7"/>
  <c r="J17" i="7" s="1"/>
  <c r="G24" i="7"/>
  <c r="J24" i="7" s="1"/>
  <c r="G31" i="7"/>
  <c r="J31" i="7" s="1"/>
  <c r="I13" i="7"/>
  <c r="G14" i="7"/>
  <c r="J14" i="7" s="1"/>
  <c r="I15" i="7"/>
  <c r="G30" i="7"/>
  <c r="J30" i="7" s="1"/>
  <c r="G11" i="7"/>
  <c r="J11" i="7" s="1"/>
  <c r="G25" i="7"/>
  <c r="J25" i="7" s="1"/>
  <c r="I4" i="7"/>
  <c r="I18" i="7"/>
  <c r="I32" i="7"/>
  <c r="I7" i="7"/>
  <c r="I22" i="7"/>
  <c r="G23" i="7"/>
  <c r="J23" i="7" s="1"/>
  <c r="G20" i="7"/>
  <c r="J20" i="7" s="1"/>
  <c r="G28" i="7"/>
  <c r="J28" i="7" s="1"/>
  <c r="I27" i="7"/>
  <c r="I8" i="7"/>
  <c r="G28" i="6"/>
  <c r="J28" i="6" s="1"/>
  <c r="I20" i="6"/>
  <c r="G13" i="6"/>
  <c r="J13" i="6" s="1"/>
  <c r="I29" i="6"/>
  <c r="G10" i="6"/>
  <c r="J10" i="6" s="1"/>
  <c r="I31" i="6"/>
  <c r="G27" i="6"/>
  <c r="J27" i="6" s="1"/>
  <c r="G14" i="6"/>
  <c r="J14" i="6" s="1"/>
  <c r="G15" i="6"/>
  <c r="J15" i="6" s="1"/>
  <c r="G9" i="6"/>
  <c r="J9" i="6" s="1"/>
  <c r="G7" i="6"/>
  <c r="J7" i="6" s="1"/>
  <c r="G6" i="6"/>
  <c r="J6" i="6" s="1"/>
  <c r="I8" i="6"/>
  <c r="I30" i="6"/>
  <c r="G3" i="6"/>
  <c r="J3" i="6" s="1"/>
  <c r="I24" i="6"/>
  <c r="G4" i="6"/>
  <c r="J4" i="6" s="1"/>
  <c r="G11" i="6"/>
  <c r="J11" i="6" s="1"/>
  <c r="G18" i="6"/>
  <c r="J18" i="6" s="1"/>
  <c r="G25" i="6"/>
  <c r="J25" i="6" s="1"/>
  <c r="G32" i="6"/>
  <c r="J32" i="6" s="1"/>
  <c r="G21" i="6"/>
  <c r="J21" i="6" s="1"/>
  <c r="G22" i="6"/>
  <c r="J22" i="6" s="1"/>
  <c r="G5" i="6"/>
  <c r="J5" i="6" s="1"/>
  <c r="G12" i="6"/>
  <c r="J12" i="6" s="1"/>
  <c r="G19" i="6"/>
  <c r="J19" i="6" s="1"/>
  <c r="G26" i="6"/>
  <c r="J26" i="6" s="1"/>
  <c r="G33" i="6"/>
  <c r="J33" i="6" s="1"/>
  <c r="G23" i="6"/>
  <c r="J23" i="6" s="1"/>
  <c r="I17" i="6"/>
  <c r="G6" i="5"/>
  <c r="J6" i="5" s="1"/>
  <c r="G28" i="5"/>
  <c r="J28" i="5" s="1"/>
  <c r="G22" i="5"/>
  <c r="J22" i="5" s="1"/>
  <c r="G27" i="5"/>
  <c r="J27" i="5" s="1"/>
  <c r="G9" i="5"/>
  <c r="J9" i="5" s="1"/>
  <c r="G3" i="5"/>
  <c r="J3" i="5" s="1"/>
  <c r="G10" i="5"/>
  <c r="J10" i="5" s="1"/>
  <c r="G17" i="5"/>
  <c r="J17" i="5" s="1"/>
  <c r="G24" i="5"/>
  <c r="J24" i="5" s="1"/>
  <c r="G31" i="5"/>
  <c r="J31" i="5" s="1"/>
  <c r="G13" i="5"/>
  <c r="J13" i="5" s="1"/>
  <c r="G21" i="5"/>
  <c r="J21" i="5" s="1"/>
  <c r="G29" i="5"/>
  <c r="J29" i="5" s="1"/>
  <c r="G30" i="5"/>
  <c r="J30" i="5" s="1"/>
  <c r="I20" i="5"/>
  <c r="I8" i="5"/>
  <c r="G4" i="5"/>
  <c r="J4" i="5" s="1"/>
  <c r="G11" i="5"/>
  <c r="J11" i="5" s="1"/>
  <c r="G18" i="5"/>
  <c r="J18" i="5" s="1"/>
  <c r="G25" i="5"/>
  <c r="J25" i="5" s="1"/>
  <c r="G32" i="5"/>
  <c r="J32" i="5" s="1"/>
  <c r="I16" i="5"/>
  <c r="I14" i="5"/>
  <c r="I23" i="5"/>
  <c r="G7" i="5"/>
  <c r="J7" i="5" s="1"/>
  <c r="G15" i="5"/>
  <c r="J15" i="5" s="1"/>
  <c r="G5" i="5"/>
  <c r="J5" i="5" s="1"/>
  <c r="G12" i="5"/>
  <c r="J12" i="5" s="1"/>
  <c r="G19" i="5"/>
  <c r="J19" i="5" s="1"/>
  <c r="G26" i="5"/>
  <c r="J26" i="5" s="1"/>
  <c r="G33" i="5"/>
  <c r="J33" i="5" s="1"/>
  <c r="I27" i="4"/>
  <c r="G8" i="4"/>
  <c r="J8" i="4" s="1"/>
  <c r="I15" i="4"/>
  <c r="G16" i="4"/>
  <c r="J16" i="4" s="1"/>
  <c r="I9" i="4"/>
  <c r="G3" i="4"/>
  <c r="J3" i="4" s="1"/>
  <c r="G10" i="4"/>
  <c r="J10" i="4" s="1"/>
  <c r="G17" i="4"/>
  <c r="J17" i="4" s="1"/>
  <c r="G24" i="4"/>
  <c r="J24" i="4" s="1"/>
  <c r="G30" i="4"/>
  <c r="J30" i="4" s="1"/>
  <c r="G20" i="4"/>
  <c r="J20" i="4" s="1"/>
  <c r="I21" i="4"/>
  <c r="G11" i="4"/>
  <c r="J11" i="4" s="1"/>
  <c r="G18" i="4"/>
  <c r="J18" i="4" s="1"/>
  <c r="G31" i="4"/>
  <c r="J31" i="4" s="1"/>
  <c r="I4" i="4"/>
  <c r="I33" i="4" s="1"/>
  <c r="I25" i="4"/>
  <c r="G28" i="4"/>
  <c r="J28" i="4" s="1"/>
  <c r="G23" i="4"/>
  <c r="J23" i="4" s="1"/>
  <c r="G7" i="4"/>
  <c r="J7" i="4" s="1"/>
  <c r="I14" i="4"/>
  <c r="I22" i="4"/>
  <c r="I29" i="4"/>
  <c r="G13" i="4"/>
  <c r="J13" i="4" s="1"/>
  <c r="G5" i="4"/>
  <c r="J5" i="4" s="1"/>
  <c r="G12" i="4"/>
  <c r="J12" i="4" s="1"/>
  <c r="G19" i="4"/>
  <c r="J19" i="4" s="1"/>
  <c r="G26" i="4"/>
  <c r="J26" i="4" s="1"/>
  <c r="G32" i="4"/>
  <c r="J32" i="4" s="1"/>
  <c r="G6" i="4"/>
  <c r="J6" i="4" s="1"/>
  <c r="F36" i="13"/>
  <c r="F36" i="12"/>
  <c r="F36" i="10"/>
  <c r="F36" i="9"/>
  <c r="I36" i="9"/>
  <c r="F34" i="8"/>
  <c r="F34" i="7"/>
  <c r="F34" i="6"/>
  <c r="I34" i="5"/>
  <c r="F34" i="5"/>
  <c r="F33" i="4"/>
  <c r="J3" i="3"/>
  <c r="G15" i="3"/>
  <c r="J15" i="3" s="1"/>
  <c r="G29" i="3"/>
  <c r="J29" i="3" s="1"/>
  <c r="I17" i="3"/>
  <c r="I6" i="3"/>
  <c r="G31" i="3"/>
  <c r="J31" i="3" s="1"/>
  <c r="G32" i="3"/>
  <c r="J32" i="3" s="1"/>
  <c r="G28" i="3"/>
  <c r="J28" i="3" s="1"/>
  <c r="I24" i="3"/>
  <c r="G20" i="3"/>
  <c r="J20" i="3" s="1"/>
  <c r="F33" i="3"/>
  <c r="G22" i="3"/>
  <c r="J22" i="3" s="1"/>
  <c r="I4" i="3"/>
  <c r="G10" i="3"/>
  <c r="J10" i="3" s="1"/>
  <c r="G16" i="3"/>
  <c r="J16" i="3" s="1"/>
  <c r="G5" i="3"/>
  <c r="J5" i="3" s="1"/>
  <c r="G25" i="3"/>
  <c r="J25" i="3" s="1"/>
  <c r="I7" i="3"/>
  <c r="G8" i="3"/>
  <c r="J8" i="3" s="1"/>
  <c r="G23" i="3"/>
  <c r="J23" i="3" s="1"/>
  <c r="I30" i="3"/>
  <c r="I12" i="3"/>
  <c r="G19" i="3"/>
  <c r="J19" i="3" s="1"/>
  <c r="G13" i="3"/>
  <c r="J13" i="3" s="1"/>
  <c r="G14" i="3"/>
  <c r="J14" i="3" s="1"/>
  <c r="G26" i="3"/>
  <c r="J26" i="3" s="1"/>
  <c r="G21" i="3"/>
  <c r="J21" i="3" s="1"/>
  <c r="G11" i="3"/>
  <c r="J11" i="3" s="1"/>
  <c r="G18" i="3"/>
  <c r="J18" i="3" s="1"/>
  <c r="F13" i="1"/>
  <c r="I13" i="1" s="1"/>
  <c r="G13" i="1"/>
  <c r="J13" i="1" s="1"/>
  <c r="I36" i="10" l="1"/>
  <c r="I36" i="12"/>
  <c r="I34" i="7"/>
  <c r="I34" i="6"/>
  <c r="I33" i="3"/>
  <c r="J36" i="13"/>
  <c r="I36" i="13"/>
  <c r="G36" i="13"/>
  <c r="G36" i="12"/>
  <c r="J36" i="12"/>
  <c r="G36" i="11"/>
  <c r="J36" i="11"/>
  <c r="I36" i="11"/>
  <c r="G36" i="10"/>
  <c r="J36" i="10"/>
  <c r="G36" i="9"/>
  <c r="J36" i="9"/>
  <c r="I34" i="8"/>
  <c r="J34" i="8"/>
  <c r="G34" i="8"/>
  <c r="J34" i="7"/>
  <c r="G34" i="7"/>
  <c r="G34" i="6"/>
  <c r="J34" i="6"/>
  <c r="J34" i="5"/>
  <c r="G34" i="5"/>
  <c r="G33" i="4"/>
  <c r="J33" i="4"/>
  <c r="G33" i="3"/>
  <c r="J33" i="3"/>
  <c r="P24" i="1"/>
  <c r="P7" i="1"/>
  <c r="P8" i="1"/>
  <c r="P6" i="1"/>
  <c r="P5" i="1"/>
  <c r="P4" i="1"/>
  <c r="J38" i="13" l="1"/>
  <c r="J39" i="13" s="1"/>
  <c r="J38" i="12"/>
  <c r="J39" i="12" s="1"/>
  <c r="J38" i="11"/>
  <c r="J39" i="11" s="1"/>
  <c r="J38" i="10"/>
  <c r="J39" i="10" s="1"/>
  <c r="J38" i="9"/>
  <c r="J39" i="9" s="1"/>
  <c r="J36" i="8"/>
  <c r="J37" i="8" s="1"/>
  <c r="J36" i="7"/>
  <c r="J37" i="7" s="1"/>
  <c r="J36" i="6"/>
  <c r="J37" i="6" s="1"/>
  <c r="J36" i="5"/>
  <c r="J37" i="5" s="1"/>
  <c r="J35" i="4"/>
  <c r="J36" i="4" s="1"/>
  <c r="J35" i="3"/>
  <c r="J36" i="3" s="1"/>
  <c r="P9" i="1"/>
  <c r="P10" i="1" s="1"/>
  <c r="F33" i="1"/>
  <c r="I33" i="1" s="1"/>
  <c r="F32" i="1"/>
  <c r="I32" i="1" s="1"/>
  <c r="F31" i="1"/>
  <c r="I31" i="1" s="1"/>
  <c r="F30" i="1"/>
  <c r="I30" i="1" s="1"/>
  <c r="F29" i="1"/>
  <c r="G29" i="1" s="1"/>
  <c r="J29" i="1" s="1"/>
  <c r="F28" i="1"/>
  <c r="I28" i="1" s="1"/>
  <c r="F27" i="1"/>
  <c r="I27" i="1" s="1"/>
  <c r="F26" i="1"/>
  <c r="I26" i="1" s="1"/>
  <c r="F25" i="1"/>
  <c r="G25" i="1" s="1"/>
  <c r="J25" i="1" s="1"/>
  <c r="F24" i="1"/>
  <c r="G24" i="1" s="1"/>
  <c r="J24" i="1" s="1"/>
  <c r="F23" i="1"/>
  <c r="G23" i="1" s="1"/>
  <c r="J23" i="1" s="1"/>
  <c r="F22" i="1"/>
  <c r="I22" i="1" s="1"/>
  <c r="F21" i="1"/>
  <c r="I21" i="1" s="1"/>
  <c r="F20" i="1"/>
  <c r="G20" i="1" s="1"/>
  <c r="J20" i="1" s="1"/>
  <c r="F19" i="1"/>
  <c r="I19" i="1" s="1"/>
  <c r="F18" i="1"/>
  <c r="G18" i="1" s="1"/>
  <c r="J18" i="1" s="1"/>
  <c r="F17" i="1"/>
  <c r="I17" i="1" s="1"/>
  <c r="F16" i="1"/>
  <c r="I16" i="1" s="1"/>
  <c r="F15" i="1"/>
  <c r="G15" i="1" s="1"/>
  <c r="J15" i="1" s="1"/>
  <c r="F14" i="1"/>
  <c r="I14" i="1" s="1"/>
  <c r="G12" i="1"/>
  <c r="J12" i="1" s="1"/>
  <c r="F12" i="1"/>
  <c r="I12" i="1" s="1"/>
  <c r="F11" i="1"/>
  <c r="G11" i="1" s="1"/>
  <c r="J11" i="1" s="1"/>
  <c r="F10" i="1"/>
  <c r="I10" i="1" s="1"/>
  <c r="F9" i="1"/>
  <c r="G9" i="1" s="1"/>
  <c r="J9" i="1" s="1"/>
  <c r="F8" i="1"/>
  <c r="G8" i="1" s="1"/>
  <c r="J8" i="1" s="1"/>
  <c r="F7" i="1"/>
  <c r="I7" i="1" s="1"/>
  <c r="F6" i="1"/>
  <c r="I6" i="1" s="1"/>
  <c r="F5" i="1"/>
  <c r="I5" i="1" s="1"/>
  <c r="F4" i="1"/>
  <c r="I4" i="1" s="1"/>
  <c r="F3" i="1"/>
  <c r="G3" i="1" s="1"/>
  <c r="P11" i="1" l="1"/>
  <c r="P12" i="1" s="1"/>
  <c r="P14" i="1" s="1"/>
  <c r="P15" i="1" s="1"/>
  <c r="J3" i="1"/>
  <c r="G22" i="1"/>
  <c r="J22" i="1" s="1"/>
  <c r="G10" i="1"/>
  <c r="J10" i="1" s="1"/>
  <c r="I25" i="1"/>
  <c r="G4" i="1"/>
  <c r="J4" i="1" s="1"/>
  <c r="G7" i="1"/>
  <c r="J7" i="1" s="1"/>
  <c r="I8" i="1"/>
  <c r="I9" i="1"/>
  <c r="F34" i="1"/>
  <c r="G30" i="1"/>
  <c r="J30" i="1" s="1"/>
  <c r="G31" i="1"/>
  <c r="J31" i="1" s="1"/>
  <c r="I18" i="1"/>
  <c r="G27" i="1"/>
  <c r="J27" i="1" s="1"/>
  <c r="I15" i="1"/>
  <c r="I24" i="1"/>
  <c r="G32" i="1"/>
  <c r="J32" i="1" s="1"/>
  <c r="G26" i="1"/>
  <c r="J26" i="1" s="1"/>
  <c r="I23" i="1"/>
  <c r="I3" i="1"/>
  <c r="I11" i="1"/>
  <c r="I29" i="1"/>
  <c r="G19" i="1"/>
  <c r="J19" i="1" s="1"/>
  <c r="I20" i="1"/>
  <c r="G16" i="1"/>
  <c r="J16" i="1" s="1"/>
  <c r="G17" i="1"/>
  <c r="J17" i="1" s="1"/>
  <c r="G33" i="1"/>
  <c r="J33" i="1" s="1"/>
  <c r="G5" i="1"/>
  <c r="J5" i="1" s="1"/>
  <c r="G6" i="1"/>
  <c r="J6" i="1" s="1"/>
  <c r="G14" i="1"/>
  <c r="J14" i="1" s="1"/>
  <c r="G21" i="1"/>
  <c r="J21" i="1" s="1"/>
  <c r="G28" i="1"/>
  <c r="J28" i="1" s="1"/>
  <c r="I34" i="1" l="1"/>
  <c r="G34" i="1"/>
  <c r="J34" i="1"/>
  <c r="J36" i="1" l="1"/>
  <c r="J37" i="1" s="1"/>
</calcChain>
</file>

<file path=xl/sharedStrings.xml><?xml version="1.0" encoding="utf-8"?>
<sst xmlns="http://schemas.openxmlformats.org/spreadsheetml/2006/main" count="1298" uniqueCount="152">
  <si>
    <t xml:space="preserve">                       BOM PRICE LIST - 6 PANEL</t>
  </si>
  <si>
    <t>SR NO</t>
  </si>
  <si>
    <t>MATERIAL</t>
  </si>
  <si>
    <t>SPECIFICATION</t>
  </si>
  <si>
    <t>QTY PROVIDED</t>
  </si>
  <si>
    <t xml:space="preserve">RATE </t>
  </si>
  <si>
    <t>GST</t>
  </si>
  <si>
    <t>T WITH GST</t>
  </si>
  <si>
    <t xml:space="preserve">QTY </t>
  </si>
  <si>
    <t>T GST</t>
  </si>
  <si>
    <t xml:space="preserve"> NET AMOUNT</t>
  </si>
  <si>
    <t>ADANI TOPCON</t>
  </si>
  <si>
    <t>620 WP</t>
  </si>
  <si>
    <t>6 MODULES</t>
  </si>
  <si>
    <t>SOLAR INVERTER</t>
  </si>
  <si>
    <t>POLYCAB</t>
  </si>
  <si>
    <t>3.6 KW</t>
  </si>
  <si>
    <t>GI HOT DIP PIPE 60*40</t>
  </si>
  <si>
    <t>HINDUSTAR 80 MIC</t>
  </si>
  <si>
    <t xml:space="preserve">7 NOS </t>
  </si>
  <si>
    <t>GI HOT DIP PIPE 80*40</t>
  </si>
  <si>
    <t>GI HOT DIP PIPE 40*40</t>
  </si>
  <si>
    <t>12 MM ZINC RODE</t>
  </si>
  <si>
    <t>12*2 MTR</t>
  </si>
  <si>
    <t xml:space="preserve">1 NOS </t>
  </si>
  <si>
    <t xml:space="preserve">NUT WASHER </t>
  </si>
  <si>
    <t>12 MM</t>
  </si>
  <si>
    <t>12 NOS</t>
  </si>
  <si>
    <t xml:space="preserve">J BOLT WITH FLANGE NUT </t>
  </si>
  <si>
    <t>SS 304</t>
  </si>
  <si>
    <t>24 NOS</t>
  </si>
  <si>
    <t xml:space="preserve">ANCHOR FASTNER </t>
  </si>
  <si>
    <t>STANDARD 10MM/3</t>
  </si>
  <si>
    <t>16 NOS</t>
  </si>
  <si>
    <t xml:space="preserve">BASE PLATE </t>
  </si>
  <si>
    <t>MS-125*125*3 MM</t>
  </si>
  <si>
    <t xml:space="preserve">4 NOS </t>
  </si>
  <si>
    <t xml:space="preserve">ZINC SPRAY </t>
  </si>
  <si>
    <t>AEROSOL</t>
  </si>
  <si>
    <t xml:space="preserve"> FOUNDATION CONCRETE DRY MIX</t>
  </si>
  <si>
    <t xml:space="preserve">10 KG </t>
  </si>
  <si>
    <t>1 BAG</t>
  </si>
  <si>
    <t>FOUNDATION PP SHEET</t>
  </si>
  <si>
    <t>6 INCH</t>
  </si>
  <si>
    <t>2 NOS</t>
  </si>
  <si>
    <t>ACDB</t>
  </si>
  <si>
    <t>L&amp;T ELMEX</t>
  </si>
  <si>
    <t>DCDB</t>
  </si>
  <si>
    <t xml:space="preserve">EARTHINGC &amp; LA ELECTRODE </t>
  </si>
  <si>
    <t xml:space="preserve">VASUDHARA </t>
  </si>
  <si>
    <t>1 SET</t>
  </si>
  <si>
    <t>EARTHING CHEMICAL</t>
  </si>
  <si>
    <t>POLYCAB DC CABLE 4 SQ MM</t>
  </si>
  <si>
    <t>RED</t>
  </si>
  <si>
    <t>20 MTR</t>
  </si>
  <si>
    <t>BLACK</t>
  </si>
  <si>
    <t>5 MTR</t>
  </si>
  <si>
    <t>ADDISON LA CABLE 16 MM</t>
  </si>
  <si>
    <t>GREEN</t>
  </si>
  <si>
    <t>ADDISON EARTHING GREE 2.5 SQ MM</t>
  </si>
  <si>
    <t>30 MTR</t>
  </si>
  <si>
    <t xml:space="preserve">WIRE TAP </t>
  </si>
  <si>
    <t>MC4 CONNECTOR</t>
  </si>
  <si>
    <t>SIBAS-1500 VDC</t>
  </si>
  <si>
    <t>CABLE TIE</t>
  </si>
  <si>
    <t>KRIPSON 300 MM</t>
  </si>
  <si>
    <t>1 PKT</t>
  </si>
  <si>
    <t>CONDUIT PIPE 25 MM HMS</t>
  </si>
  <si>
    <t>OMEGA</t>
  </si>
  <si>
    <t>10 NOS</t>
  </si>
  <si>
    <t>PVC ELBOW 25 MM</t>
  </si>
  <si>
    <t>20 NOS</t>
  </si>
  <si>
    <t>PVC TEE 25 MM</t>
  </si>
  <si>
    <t>5 NOS</t>
  </si>
  <si>
    <t xml:space="preserve">PVC CLIP 25 MM </t>
  </si>
  <si>
    <t xml:space="preserve">TOTAL COSTING </t>
  </si>
  <si>
    <t>TRANSPORT</t>
  </si>
  <si>
    <t>PANEL</t>
  </si>
  <si>
    <t>QTY</t>
  </si>
  <si>
    <t xml:space="preserve">ADANI </t>
  </si>
  <si>
    <t xml:space="preserve">POLYCAB </t>
  </si>
  <si>
    <t>BOM</t>
  </si>
  <si>
    <t xml:space="preserve">LABOUR </t>
  </si>
  <si>
    <t>COMM</t>
  </si>
  <si>
    <t xml:space="preserve">TRANSPORT </t>
  </si>
  <si>
    <t>TOTAL</t>
  </si>
  <si>
    <t>GST 8.9%</t>
  </si>
  <si>
    <t>PROFIT 10%</t>
  </si>
  <si>
    <t xml:space="preserve">L ANGLE </t>
  </si>
  <si>
    <t xml:space="preserve">STANDARD </t>
  </si>
  <si>
    <t>6 NOS</t>
  </si>
  <si>
    <t>ADDISON AC CABLE 4 SQ MM</t>
  </si>
  <si>
    <t xml:space="preserve">                       BOM PRICE LIST - 4 PANEL</t>
  </si>
  <si>
    <t xml:space="preserve">                       BOM PRICE LIST - 5 PANEL</t>
  </si>
  <si>
    <t>4 MODULES</t>
  </si>
  <si>
    <t xml:space="preserve">3 NOS </t>
  </si>
  <si>
    <t xml:space="preserve">12 NOS </t>
  </si>
  <si>
    <t>15 MTR</t>
  </si>
  <si>
    <t>25 NOS</t>
  </si>
  <si>
    <t>0.5 PKT</t>
  </si>
  <si>
    <t xml:space="preserve">24 NOS </t>
  </si>
  <si>
    <t>7 MODULES</t>
  </si>
  <si>
    <t xml:space="preserve">4.2 KW </t>
  </si>
  <si>
    <t>5 MODULES</t>
  </si>
  <si>
    <t xml:space="preserve">5 NOS </t>
  </si>
  <si>
    <t>28 NOS</t>
  </si>
  <si>
    <t xml:space="preserve">                       BOM PRICE LIST - 7 PANEL</t>
  </si>
  <si>
    <t xml:space="preserve">                       BOM PRICE LIST - 8 PANEL</t>
  </si>
  <si>
    <t>8 MODULES</t>
  </si>
  <si>
    <t xml:space="preserve">                       BOM PRICE LIST - 9 PANEL</t>
  </si>
  <si>
    <t>9 MODULES</t>
  </si>
  <si>
    <t>10 MODULES</t>
  </si>
  <si>
    <t xml:space="preserve">                       BOM PRICE LIST - 10 PANEL</t>
  </si>
  <si>
    <t xml:space="preserve">                       BOM PRICE LIST - 11 PANEL</t>
  </si>
  <si>
    <t>11 MODULES</t>
  </si>
  <si>
    <t>12 MODULES</t>
  </si>
  <si>
    <t xml:space="preserve">                       BOM PRICE LIST - 12 PANEL</t>
  </si>
  <si>
    <t xml:space="preserve">                       BOM PRICE LIST - 13 PANEL</t>
  </si>
  <si>
    <t>13 MODULES</t>
  </si>
  <si>
    <t xml:space="preserve">8 KW </t>
  </si>
  <si>
    <t>16 MODULES</t>
  </si>
  <si>
    <t xml:space="preserve">                       BOM PRICE LIST - 16 PANEL</t>
  </si>
  <si>
    <t>10 KW</t>
  </si>
  <si>
    <t xml:space="preserve">6 NOS </t>
  </si>
  <si>
    <t xml:space="preserve">2 NOS </t>
  </si>
  <si>
    <t xml:space="preserve">18 NOS </t>
  </si>
  <si>
    <t>64 NOS</t>
  </si>
  <si>
    <t xml:space="preserve">30 NOS </t>
  </si>
  <si>
    <t xml:space="preserve">15 NOS </t>
  </si>
  <si>
    <t xml:space="preserve">52 NOS </t>
  </si>
  <si>
    <t xml:space="preserve">1 BAG </t>
  </si>
  <si>
    <t>44 NOS</t>
  </si>
  <si>
    <t xml:space="preserve">7 KW </t>
  </si>
  <si>
    <t xml:space="preserve">44 NOS </t>
  </si>
  <si>
    <t xml:space="preserve">6 KW </t>
  </si>
  <si>
    <t xml:space="preserve">40 NOS </t>
  </si>
  <si>
    <t xml:space="preserve">5.4 KW </t>
  </si>
  <si>
    <t xml:space="preserve">36 NOS </t>
  </si>
  <si>
    <t xml:space="preserve">5 KW </t>
  </si>
  <si>
    <t xml:space="preserve">32 NOS </t>
  </si>
  <si>
    <t xml:space="preserve">9 NOS </t>
  </si>
  <si>
    <t xml:space="preserve">10 MTR </t>
  </si>
  <si>
    <t>10 MTR</t>
  </si>
  <si>
    <t>BLUE</t>
  </si>
  <si>
    <t>YELLOW</t>
  </si>
  <si>
    <t>23 MTR</t>
  </si>
  <si>
    <t>25 MTR</t>
  </si>
  <si>
    <t>12 MM ZINC STUD</t>
  </si>
  <si>
    <t>SOLAR MODULE</t>
  </si>
  <si>
    <t>STANDARD</t>
  </si>
  <si>
    <t>POLYCAB AC CABLE 4 SQ MM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</si>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</sst>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0" fillId="0" borderId="19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0" fillId="0" borderId="0" xfId="0" applyNumberFormat="1"/>
    <xf numFmtId="10" fontId="0" fillId="0" borderId="0" xfId="0" applyNumberFormat="1"/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/>
    <xf numFmtId="0" fontId="1" fillId="3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723900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57151</xdr:rowOff>
    </xdr:from>
    <xdr:to>
      <xdr:col>2</xdr:col>
      <xdr:colOff>581025</xdr:colOff>
      <xdr:row>0</xdr:row>
      <xdr:rowOff>571501</xdr:rowOff>
    </xdr:to>
    <xdr:pic>
      <xdr:nvPicPr>
        <xdr:cNvPr id="2" name="Picture 1" descr="C:\Users\HIGHLIGHT\Downloads\Highlight Renewable-Letterhead_final 4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7151"/>
          <a:ext cx="249555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>
      <selection activeCell="M32" sqref="M32"/>
    </sheetView>
  </sheetViews>
  <sheetFormatPr defaultRowHeight="15" x14ac:dyDescent="0.25"/>
  <cols>
    <col min="1" max="1" width="6" customWidth="1"/>
    <col min="2" max="2" width="30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20" ht="48.75" customHeight="1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20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  <c r="N2">
        <v>3.72</v>
      </c>
    </row>
    <row r="3" spans="1:20" x14ac:dyDescent="0.25">
      <c r="A3" s="5">
        <v>1</v>
      </c>
      <c r="B3" s="6" t="s">
        <v>11</v>
      </c>
      <c r="C3" s="6" t="s">
        <v>12</v>
      </c>
      <c r="D3" s="6" t="s">
        <v>13</v>
      </c>
      <c r="E3" s="6">
        <v>17050</v>
      </c>
      <c r="F3" s="6">
        <f>E3*5%</f>
        <v>852.5</v>
      </c>
      <c r="G3" s="6">
        <f>E3+F3</f>
        <v>17902.5</v>
      </c>
      <c r="H3" s="6">
        <v>6</v>
      </c>
      <c r="I3" s="7">
        <f>F3*H3</f>
        <v>5115</v>
      </c>
      <c r="J3" s="8">
        <f t="shared" ref="J3:J33" si="0">G3*H3</f>
        <v>107415</v>
      </c>
      <c r="K3">
        <v>17050</v>
      </c>
      <c r="N3" t="s">
        <v>77</v>
      </c>
      <c r="O3" t="s">
        <v>78</v>
      </c>
      <c r="P3" t="s">
        <v>5</v>
      </c>
      <c r="R3">
        <v>4</v>
      </c>
      <c r="S3">
        <v>2.48</v>
      </c>
      <c r="T3">
        <v>117000</v>
      </c>
    </row>
    <row r="4" spans="1:20" x14ac:dyDescent="0.25">
      <c r="A4" s="9">
        <v>2</v>
      </c>
      <c r="B4" s="11" t="s">
        <v>14</v>
      </c>
      <c r="C4" s="10" t="s">
        <v>15</v>
      </c>
      <c r="D4" s="10" t="s">
        <v>16</v>
      </c>
      <c r="E4" s="10">
        <v>14600</v>
      </c>
      <c r="F4" s="6">
        <f>E4*5%</f>
        <v>730</v>
      </c>
      <c r="G4" s="6">
        <f>E4+F4</f>
        <v>15330</v>
      </c>
      <c r="H4" s="10">
        <v>1</v>
      </c>
      <c r="I4" s="7">
        <f t="shared" ref="I4:I33" si="1">F4*H4</f>
        <v>730</v>
      </c>
      <c r="J4" s="8">
        <f t="shared" si="0"/>
        <v>15330</v>
      </c>
      <c r="K4">
        <v>15100</v>
      </c>
      <c r="M4" t="s">
        <v>79</v>
      </c>
      <c r="N4">
        <v>17050</v>
      </c>
      <c r="O4">
        <v>6</v>
      </c>
      <c r="P4">
        <f>N4*O4</f>
        <v>102300</v>
      </c>
      <c r="R4">
        <v>5</v>
      </c>
      <c r="S4">
        <v>3.1</v>
      </c>
      <c r="T4">
        <v>138000</v>
      </c>
    </row>
    <row r="5" spans="1:20" x14ac:dyDescent="0.25">
      <c r="A5" s="9">
        <v>3</v>
      </c>
      <c r="B5" s="11" t="s">
        <v>17</v>
      </c>
      <c r="C5" s="10" t="s">
        <v>18</v>
      </c>
      <c r="D5" s="10" t="s">
        <v>19</v>
      </c>
      <c r="E5" s="11">
        <v>1490</v>
      </c>
      <c r="F5" s="10">
        <f>E5*18%</f>
        <v>268.2</v>
      </c>
      <c r="G5" s="6">
        <f>E5+F5</f>
        <v>1758.2</v>
      </c>
      <c r="H5" s="10">
        <v>4</v>
      </c>
      <c r="I5" s="7">
        <f t="shared" si="1"/>
        <v>1072.8</v>
      </c>
      <c r="J5" s="8">
        <f t="shared" si="0"/>
        <v>7032.8</v>
      </c>
      <c r="M5" t="s">
        <v>80</v>
      </c>
      <c r="N5">
        <v>14700</v>
      </c>
      <c r="O5">
        <v>1</v>
      </c>
      <c r="P5">
        <f>N5*O5</f>
        <v>14700</v>
      </c>
      <c r="R5">
        <v>6</v>
      </c>
      <c r="S5">
        <v>3.72</v>
      </c>
      <c r="T5">
        <v>157700</v>
      </c>
    </row>
    <row r="6" spans="1:20" x14ac:dyDescent="0.25">
      <c r="A6" s="5">
        <v>4</v>
      </c>
      <c r="B6" s="10" t="s">
        <v>20</v>
      </c>
      <c r="C6" s="10" t="s">
        <v>18</v>
      </c>
      <c r="D6" s="10">
        <v>0</v>
      </c>
      <c r="E6" s="11">
        <v>1870</v>
      </c>
      <c r="F6" s="10">
        <f>E6*18%</f>
        <v>336.59999999999997</v>
      </c>
      <c r="G6" s="6">
        <f t="shared" ref="G6:G33" si="2">E6+F6</f>
        <v>2206.6</v>
      </c>
      <c r="H6" s="10">
        <v>0</v>
      </c>
      <c r="I6" s="7">
        <f t="shared" si="1"/>
        <v>0</v>
      </c>
      <c r="J6" s="8">
        <f t="shared" si="0"/>
        <v>0</v>
      </c>
      <c r="M6" t="s">
        <v>81</v>
      </c>
      <c r="N6">
        <v>4600</v>
      </c>
      <c r="O6">
        <v>3.72</v>
      </c>
      <c r="P6">
        <f>N6*O6</f>
        <v>17112</v>
      </c>
      <c r="R6">
        <v>7</v>
      </c>
      <c r="S6">
        <v>4.34</v>
      </c>
      <c r="T6">
        <v>187000</v>
      </c>
    </row>
    <row r="7" spans="1:20" x14ac:dyDescent="0.25">
      <c r="A7" s="9">
        <v>5</v>
      </c>
      <c r="B7" s="11" t="s">
        <v>21</v>
      </c>
      <c r="C7" s="10" t="s">
        <v>18</v>
      </c>
      <c r="D7" s="10">
        <v>0</v>
      </c>
      <c r="E7" s="11">
        <v>1135</v>
      </c>
      <c r="F7" s="10">
        <f>E7*18%</f>
        <v>204.29999999999998</v>
      </c>
      <c r="G7" s="6">
        <f t="shared" si="2"/>
        <v>1339.3</v>
      </c>
      <c r="H7" s="10">
        <v>3</v>
      </c>
      <c r="I7" s="7">
        <f t="shared" si="1"/>
        <v>612.9</v>
      </c>
      <c r="J7" s="8">
        <f t="shared" si="0"/>
        <v>4017.8999999999996</v>
      </c>
      <c r="M7" t="s">
        <v>82</v>
      </c>
      <c r="N7">
        <v>1800</v>
      </c>
      <c r="O7">
        <v>3.72</v>
      </c>
      <c r="P7">
        <f t="shared" ref="P7:P8" si="3">N7*O7</f>
        <v>6696</v>
      </c>
      <c r="R7">
        <v>8</v>
      </c>
      <c r="S7">
        <v>4.96</v>
      </c>
      <c r="T7">
        <v>208000</v>
      </c>
    </row>
    <row r="8" spans="1:20" x14ac:dyDescent="0.25">
      <c r="A8" s="9">
        <v>6</v>
      </c>
      <c r="B8" s="11" t="s">
        <v>22</v>
      </c>
      <c r="C8" s="10" t="s">
        <v>23</v>
      </c>
      <c r="D8" s="10" t="s">
        <v>24</v>
      </c>
      <c r="E8" s="11">
        <v>100</v>
      </c>
      <c r="F8" s="10">
        <f t="shared" ref="F8:F33" si="4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  <c r="M8" t="s">
        <v>83</v>
      </c>
      <c r="N8">
        <v>2700</v>
      </c>
      <c r="O8">
        <v>3.72</v>
      </c>
      <c r="P8">
        <f t="shared" si="3"/>
        <v>10044</v>
      </c>
      <c r="R8">
        <v>9</v>
      </c>
      <c r="S8">
        <v>5.58</v>
      </c>
      <c r="T8">
        <v>236500</v>
      </c>
    </row>
    <row r="9" spans="1:20" x14ac:dyDescent="0.25">
      <c r="A9" s="5">
        <v>7</v>
      </c>
      <c r="B9" s="11" t="s">
        <v>25</v>
      </c>
      <c r="C9" s="10" t="s">
        <v>26</v>
      </c>
      <c r="D9" s="10" t="s">
        <v>27</v>
      </c>
      <c r="E9" s="10">
        <v>4</v>
      </c>
      <c r="F9" s="10">
        <f t="shared" si="4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  <c r="M9" t="s">
        <v>85</v>
      </c>
      <c r="P9">
        <f>SUM(P4:P8)</f>
        <v>150852</v>
      </c>
      <c r="R9">
        <v>10</v>
      </c>
      <c r="S9">
        <v>6.2</v>
      </c>
      <c r="T9">
        <v>264500</v>
      </c>
    </row>
    <row r="10" spans="1:20" x14ac:dyDescent="0.25">
      <c r="A10" s="9">
        <v>8</v>
      </c>
      <c r="B10" s="11" t="s">
        <v>28</v>
      </c>
      <c r="C10" s="10" t="s">
        <v>29</v>
      </c>
      <c r="D10" s="10" t="s">
        <v>30</v>
      </c>
      <c r="E10" s="10">
        <v>10</v>
      </c>
      <c r="F10" s="10">
        <f t="shared" si="4"/>
        <v>1.7999999999999998</v>
      </c>
      <c r="G10" s="6">
        <f t="shared" si="2"/>
        <v>11.8</v>
      </c>
      <c r="H10" s="10">
        <v>24</v>
      </c>
      <c r="I10" s="7">
        <f t="shared" si="1"/>
        <v>43.199999999999996</v>
      </c>
      <c r="J10" s="8">
        <f t="shared" si="0"/>
        <v>283.20000000000005</v>
      </c>
      <c r="M10" t="s">
        <v>84</v>
      </c>
      <c r="N10" s="21"/>
      <c r="O10">
        <v>2200</v>
      </c>
      <c r="P10">
        <f>P9+O10</f>
        <v>153052</v>
      </c>
      <c r="R10">
        <v>11</v>
      </c>
      <c r="S10">
        <v>6.82</v>
      </c>
      <c r="T10">
        <v>305000</v>
      </c>
    </row>
    <row r="11" spans="1:20" x14ac:dyDescent="0.25">
      <c r="A11" s="9">
        <v>9</v>
      </c>
      <c r="B11" s="10" t="s">
        <v>31</v>
      </c>
      <c r="C11" s="10" t="s">
        <v>32</v>
      </c>
      <c r="D11" s="10" t="s">
        <v>33</v>
      </c>
      <c r="E11" s="11">
        <v>9</v>
      </c>
      <c r="F11" s="10">
        <f t="shared" si="4"/>
        <v>1.6199999999999999</v>
      </c>
      <c r="G11" s="6">
        <f t="shared" si="2"/>
        <v>10.62</v>
      </c>
      <c r="H11" s="10">
        <v>16</v>
      </c>
      <c r="I11" s="7">
        <f t="shared" si="1"/>
        <v>25.919999999999998</v>
      </c>
      <c r="J11" s="8">
        <f t="shared" si="0"/>
        <v>169.92</v>
      </c>
      <c r="M11" t="s">
        <v>87</v>
      </c>
      <c r="N11" s="20"/>
      <c r="P11">
        <f>P10*9%</f>
        <v>13774.68</v>
      </c>
      <c r="R11">
        <v>12</v>
      </c>
      <c r="S11">
        <v>7.44</v>
      </c>
      <c r="T11">
        <v>320000</v>
      </c>
    </row>
    <row r="12" spans="1:20" x14ac:dyDescent="0.25">
      <c r="A12" s="5">
        <v>10</v>
      </c>
      <c r="B12" s="10" t="s">
        <v>34</v>
      </c>
      <c r="C12" s="10" t="s">
        <v>35</v>
      </c>
      <c r="D12" s="10" t="s">
        <v>36</v>
      </c>
      <c r="E12" s="10">
        <v>27</v>
      </c>
      <c r="F12" s="10">
        <f t="shared" si="4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  <c r="M12" t="s">
        <v>85</v>
      </c>
      <c r="P12">
        <f>P10+P11</f>
        <v>166826.68</v>
      </c>
      <c r="R12">
        <v>13</v>
      </c>
      <c r="S12">
        <v>8.06</v>
      </c>
      <c r="T12">
        <v>349500</v>
      </c>
    </row>
    <row r="13" spans="1:20" x14ac:dyDescent="0.25">
      <c r="A13" s="5">
        <v>11</v>
      </c>
      <c r="B13" s="11" t="s">
        <v>88</v>
      </c>
      <c r="C13" s="10" t="s">
        <v>89</v>
      </c>
      <c r="D13" s="10" t="s">
        <v>90</v>
      </c>
      <c r="E13" s="10">
        <v>21</v>
      </c>
      <c r="F13" s="10">
        <f t="shared" si="4"/>
        <v>3.78</v>
      </c>
      <c r="G13" s="6">
        <f t="shared" si="2"/>
        <v>24.78</v>
      </c>
      <c r="H13" s="10">
        <v>6</v>
      </c>
      <c r="I13" s="7">
        <f t="shared" si="1"/>
        <v>22.68</v>
      </c>
      <c r="J13" s="8">
        <f t="shared" si="0"/>
        <v>148.68</v>
      </c>
      <c r="R13">
        <v>16</v>
      </c>
      <c r="S13">
        <v>9.92</v>
      </c>
      <c r="T13">
        <v>410000</v>
      </c>
    </row>
    <row r="14" spans="1:20" x14ac:dyDescent="0.25">
      <c r="A14" s="5">
        <v>12</v>
      </c>
      <c r="B14" s="11" t="s">
        <v>37</v>
      </c>
      <c r="C14" s="10" t="s">
        <v>38</v>
      </c>
      <c r="D14" s="10" t="s">
        <v>24</v>
      </c>
      <c r="E14" s="10">
        <v>150</v>
      </c>
      <c r="F14" s="10">
        <f t="shared" si="4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  <c r="M14" t="s">
        <v>86</v>
      </c>
      <c r="P14">
        <f>P12*8.9%</f>
        <v>14847.57452</v>
      </c>
    </row>
    <row r="15" spans="1:20" x14ac:dyDescent="0.25">
      <c r="A15" s="5">
        <v>13</v>
      </c>
      <c r="B15" s="10" t="s">
        <v>39</v>
      </c>
      <c r="C15" s="10" t="s">
        <v>40</v>
      </c>
      <c r="D15" s="10" t="s">
        <v>41</v>
      </c>
      <c r="E15" s="10">
        <v>170</v>
      </c>
      <c r="F15" s="10">
        <f t="shared" si="4"/>
        <v>30.599999999999998</v>
      </c>
      <c r="G15" s="6">
        <f t="shared" si="2"/>
        <v>200.6</v>
      </c>
      <c r="H15" s="10">
        <v>1</v>
      </c>
      <c r="I15" s="7">
        <f t="shared" si="1"/>
        <v>30.599999999999998</v>
      </c>
      <c r="J15" s="8">
        <f t="shared" si="0"/>
        <v>200.6</v>
      </c>
      <c r="P15" s="24">
        <f>P12+P14</f>
        <v>181674.25451999999</v>
      </c>
    </row>
    <row r="16" spans="1:20" x14ac:dyDescent="0.25">
      <c r="A16" s="5">
        <v>14</v>
      </c>
      <c r="B16" s="10" t="s">
        <v>42</v>
      </c>
      <c r="C16" s="10" t="s">
        <v>43</v>
      </c>
      <c r="D16" s="10" t="s">
        <v>44</v>
      </c>
      <c r="E16" s="10">
        <v>35</v>
      </c>
      <c r="F16" s="10">
        <f t="shared" si="4"/>
        <v>6.3</v>
      </c>
      <c r="G16" s="6">
        <f t="shared" si="2"/>
        <v>41.3</v>
      </c>
      <c r="H16" s="10">
        <v>2</v>
      </c>
      <c r="I16" s="7">
        <f t="shared" si="1"/>
        <v>12.6</v>
      </c>
      <c r="J16" s="8">
        <f t="shared" si="0"/>
        <v>82.6</v>
      </c>
    </row>
    <row r="17" spans="1:16" x14ac:dyDescent="0.25">
      <c r="A17" s="5">
        <v>15</v>
      </c>
      <c r="B17" s="11" t="s">
        <v>45</v>
      </c>
      <c r="C17" s="10" t="s">
        <v>46</v>
      </c>
      <c r="D17" s="10" t="s">
        <v>24</v>
      </c>
      <c r="E17" s="10">
        <v>800</v>
      </c>
      <c r="F17" s="10">
        <f t="shared" si="4"/>
        <v>144</v>
      </c>
      <c r="G17" s="10">
        <f t="shared" si="2"/>
        <v>944</v>
      </c>
      <c r="H17" s="10">
        <v>1</v>
      </c>
      <c r="I17" s="7">
        <f t="shared" si="1"/>
        <v>144</v>
      </c>
      <c r="J17" s="12">
        <f t="shared" si="0"/>
        <v>944</v>
      </c>
      <c r="N17">
        <v>4.34</v>
      </c>
    </row>
    <row r="18" spans="1:16" x14ac:dyDescent="0.25">
      <c r="A18" s="5">
        <v>16</v>
      </c>
      <c r="B18" s="11" t="s">
        <v>47</v>
      </c>
      <c r="C18" s="10" t="s">
        <v>46</v>
      </c>
      <c r="D18" s="10" t="s">
        <v>24</v>
      </c>
      <c r="E18" s="10">
        <v>800</v>
      </c>
      <c r="F18" s="10">
        <f t="shared" si="4"/>
        <v>144</v>
      </c>
      <c r="G18" s="10">
        <f t="shared" si="2"/>
        <v>944</v>
      </c>
      <c r="H18" s="10">
        <v>1</v>
      </c>
      <c r="I18" s="7">
        <f t="shared" si="1"/>
        <v>144</v>
      </c>
      <c r="J18" s="12">
        <f t="shared" si="0"/>
        <v>944</v>
      </c>
      <c r="N18" t="s">
        <v>77</v>
      </c>
      <c r="O18" t="s">
        <v>78</v>
      </c>
      <c r="P18" t="s">
        <v>5</v>
      </c>
    </row>
    <row r="19" spans="1:16" x14ac:dyDescent="0.25">
      <c r="A19" s="5">
        <v>17</v>
      </c>
      <c r="B19" s="11" t="s">
        <v>48</v>
      </c>
      <c r="C19" s="10" t="s">
        <v>49</v>
      </c>
      <c r="D19" s="10" t="s">
        <v>50</v>
      </c>
      <c r="E19" s="10">
        <v>500</v>
      </c>
      <c r="F19" s="10">
        <f t="shared" si="4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  <c r="M19" t="s">
        <v>79</v>
      </c>
      <c r="N19">
        <v>17050</v>
      </c>
      <c r="O19">
        <v>7</v>
      </c>
      <c r="P19">
        <v>119350</v>
      </c>
    </row>
    <row r="20" spans="1:16" x14ac:dyDescent="0.25">
      <c r="A20" s="5">
        <v>18</v>
      </c>
      <c r="B20" s="11" t="s">
        <v>51</v>
      </c>
      <c r="C20" s="10" t="s">
        <v>49</v>
      </c>
      <c r="D20" s="10" t="s">
        <v>41</v>
      </c>
      <c r="E20" s="10">
        <v>85</v>
      </c>
      <c r="F20" s="10">
        <f t="shared" si="4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  <c r="M20" t="s">
        <v>80</v>
      </c>
      <c r="N20">
        <v>20000</v>
      </c>
      <c r="O20">
        <v>1</v>
      </c>
      <c r="P20">
        <v>20000</v>
      </c>
    </row>
    <row r="21" spans="1:16" x14ac:dyDescent="0.25">
      <c r="A21" s="5">
        <v>19</v>
      </c>
      <c r="B21" s="11" t="s">
        <v>52</v>
      </c>
      <c r="C21" s="10" t="s">
        <v>53</v>
      </c>
      <c r="D21" s="10" t="s">
        <v>54</v>
      </c>
      <c r="E21" s="11">
        <v>54</v>
      </c>
      <c r="F21" s="10">
        <f t="shared" si="4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  <c r="M21" t="s">
        <v>81</v>
      </c>
      <c r="N21">
        <v>3900</v>
      </c>
      <c r="O21">
        <v>4.34</v>
      </c>
      <c r="P21">
        <v>16926</v>
      </c>
    </row>
    <row r="22" spans="1:16" x14ac:dyDescent="0.25">
      <c r="A22" s="5">
        <v>20</v>
      </c>
      <c r="B22" s="11" t="s">
        <v>52</v>
      </c>
      <c r="C22" s="10" t="s">
        <v>55</v>
      </c>
      <c r="D22" s="10" t="s">
        <v>54</v>
      </c>
      <c r="E22" s="11">
        <v>54</v>
      </c>
      <c r="F22" s="10">
        <f t="shared" si="4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  <c r="M22" t="s">
        <v>82</v>
      </c>
      <c r="N22">
        <v>2000</v>
      </c>
      <c r="O22">
        <v>4.34</v>
      </c>
      <c r="P22">
        <v>8680</v>
      </c>
    </row>
    <row r="23" spans="1:16" x14ac:dyDescent="0.25">
      <c r="A23" s="5">
        <v>21</v>
      </c>
      <c r="B23" s="11" t="s">
        <v>91</v>
      </c>
      <c r="C23" s="10" t="s">
        <v>53</v>
      </c>
      <c r="D23" s="10" t="s">
        <v>56</v>
      </c>
      <c r="E23" s="11">
        <v>49</v>
      </c>
      <c r="F23" s="10">
        <f t="shared" si="4"/>
        <v>8.82</v>
      </c>
      <c r="G23" s="10">
        <f t="shared" si="2"/>
        <v>57.82</v>
      </c>
      <c r="H23" s="10">
        <v>15</v>
      </c>
      <c r="I23" s="7">
        <f t="shared" si="1"/>
        <v>132.30000000000001</v>
      </c>
      <c r="J23" s="12">
        <f t="shared" si="0"/>
        <v>867.3</v>
      </c>
      <c r="M23" t="s">
        <v>83</v>
      </c>
      <c r="N23">
        <v>3000</v>
      </c>
      <c r="O23">
        <v>4.34</v>
      </c>
      <c r="P23">
        <v>13020</v>
      </c>
    </row>
    <row r="24" spans="1:16" x14ac:dyDescent="0.25">
      <c r="A24" s="5">
        <v>22</v>
      </c>
      <c r="B24" s="11" t="s">
        <v>91</v>
      </c>
      <c r="C24" s="10" t="s">
        <v>55</v>
      </c>
      <c r="D24" s="10" t="s">
        <v>56</v>
      </c>
      <c r="E24" s="11">
        <v>49</v>
      </c>
      <c r="F24" s="10">
        <f t="shared" si="4"/>
        <v>8.82</v>
      </c>
      <c r="G24" s="10">
        <f t="shared" si="2"/>
        <v>57.82</v>
      </c>
      <c r="H24" s="10">
        <v>15</v>
      </c>
      <c r="I24" s="7">
        <f t="shared" si="1"/>
        <v>132.30000000000001</v>
      </c>
      <c r="J24" s="12">
        <f t="shared" si="0"/>
        <v>867.3</v>
      </c>
      <c r="M24" t="s">
        <v>85</v>
      </c>
      <c r="P24">
        <f>SUM(P19:P23)</f>
        <v>177976</v>
      </c>
    </row>
    <row r="25" spans="1:16" x14ac:dyDescent="0.25">
      <c r="A25" s="5">
        <v>23</v>
      </c>
      <c r="B25" s="11" t="s">
        <v>57</v>
      </c>
      <c r="C25" s="10" t="s">
        <v>58</v>
      </c>
      <c r="D25" s="10" t="s">
        <v>54</v>
      </c>
      <c r="E25" s="11">
        <v>22.77</v>
      </c>
      <c r="F25" s="10">
        <f t="shared" si="4"/>
        <v>4.0985999999999994</v>
      </c>
      <c r="G25" s="10">
        <f t="shared" si="2"/>
        <v>26.868600000000001</v>
      </c>
      <c r="H25" s="10">
        <v>20</v>
      </c>
      <c r="I25" s="7">
        <f t="shared" si="1"/>
        <v>81.97199999999998</v>
      </c>
      <c r="J25" s="12">
        <f t="shared" si="0"/>
        <v>537.37200000000007</v>
      </c>
      <c r="M25" t="s">
        <v>84</v>
      </c>
      <c r="N25" s="21">
        <v>1.2E-2</v>
      </c>
      <c r="P25">
        <v>180111.71</v>
      </c>
    </row>
    <row r="26" spans="1:16" ht="30" x14ac:dyDescent="0.25">
      <c r="A26" s="5">
        <v>24</v>
      </c>
      <c r="B26" s="23" t="s">
        <v>59</v>
      </c>
      <c r="C26" s="10" t="s">
        <v>58</v>
      </c>
      <c r="D26" s="10" t="s">
        <v>60</v>
      </c>
      <c r="E26" s="11">
        <v>31.35</v>
      </c>
      <c r="F26" s="10">
        <f t="shared" si="4"/>
        <v>5.6429999999999998</v>
      </c>
      <c r="G26" s="10">
        <f t="shared" si="2"/>
        <v>36.993000000000002</v>
      </c>
      <c r="H26" s="10">
        <v>30</v>
      </c>
      <c r="I26" s="7">
        <f t="shared" si="1"/>
        <v>169.29</v>
      </c>
      <c r="J26" s="12">
        <f t="shared" si="0"/>
        <v>1109.79</v>
      </c>
      <c r="M26" t="s">
        <v>87</v>
      </c>
      <c r="N26" s="20"/>
      <c r="P26">
        <v>18011.169999999998</v>
      </c>
    </row>
    <row r="27" spans="1:16" x14ac:dyDescent="0.25">
      <c r="A27" s="5">
        <v>25</v>
      </c>
      <c r="B27" s="13" t="s">
        <v>61</v>
      </c>
      <c r="C27" s="10" t="s">
        <v>53</v>
      </c>
      <c r="D27" s="10" t="s">
        <v>24</v>
      </c>
      <c r="E27" s="10">
        <v>0</v>
      </c>
      <c r="F27" s="10">
        <f t="shared" si="4"/>
        <v>0</v>
      </c>
      <c r="G27" s="10">
        <f t="shared" si="2"/>
        <v>0</v>
      </c>
      <c r="H27" s="10">
        <v>1</v>
      </c>
      <c r="I27" s="7">
        <f t="shared" si="1"/>
        <v>0</v>
      </c>
      <c r="J27" s="12">
        <f t="shared" si="0"/>
        <v>0</v>
      </c>
      <c r="M27" t="s">
        <v>85</v>
      </c>
      <c r="P27">
        <v>198122.87</v>
      </c>
    </row>
    <row r="28" spans="1:16" x14ac:dyDescent="0.25">
      <c r="A28" s="5">
        <v>26</v>
      </c>
      <c r="B28" s="11" t="s">
        <v>62</v>
      </c>
      <c r="C28" s="10" t="s">
        <v>63</v>
      </c>
      <c r="D28" s="10" t="s">
        <v>44</v>
      </c>
      <c r="E28" s="10">
        <v>25</v>
      </c>
      <c r="F28" s="10">
        <f t="shared" si="4"/>
        <v>4.5</v>
      </c>
      <c r="G28" s="10">
        <f t="shared" si="2"/>
        <v>29.5</v>
      </c>
      <c r="H28" s="10">
        <v>2</v>
      </c>
      <c r="I28" s="7">
        <f t="shared" si="1"/>
        <v>9</v>
      </c>
      <c r="J28" s="12">
        <f t="shared" si="0"/>
        <v>59</v>
      </c>
      <c r="M28" t="s">
        <v>86</v>
      </c>
      <c r="P28">
        <v>215755.83</v>
      </c>
    </row>
    <row r="29" spans="1:16" x14ac:dyDescent="0.25">
      <c r="A29" s="5">
        <v>27</v>
      </c>
      <c r="B29" s="11" t="s">
        <v>64</v>
      </c>
      <c r="C29" s="10" t="s">
        <v>65</v>
      </c>
      <c r="D29" s="10" t="s">
        <v>66</v>
      </c>
      <c r="E29" s="10">
        <v>90</v>
      </c>
      <c r="F29" s="10">
        <f t="shared" si="4"/>
        <v>16.2</v>
      </c>
      <c r="G29" s="10">
        <f t="shared" si="2"/>
        <v>106.2</v>
      </c>
      <c r="H29" s="10">
        <v>1</v>
      </c>
      <c r="I29" s="7">
        <f t="shared" si="1"/>
        <v>16.2</v>
      </c>
      <c r="J29" s="12">
        <f t="shared" si="0"/>
        <v>106.2</v>
      </c>
    </row>
    <row r="30" spans="1:16" x14ac:dyDescent="0.25">
      <c r="A30" s="5">
        <v>28</v>
      </c>
      <c r="B30" s="11" t="s">
        <v>67</v>
      </c>
      <c r="C30" s="10" t="s">
        <v>68</v>
      </c>
      <c r="D30" s="10" t="s">
        <v>69</v>
      </c>
      <c r="E30" s="10">
        <v>37</v>
      </c>
      <c r="F30" s="10">
        <f t="shared" si="4"/>
        <v>6.66</v>
      </c>
      <c r="G30" s="10">
        <f t="shared" si="2"/>
        <v>43.66</v>
      </c>
      <c r="H30" s="10">
        <v>10</v>
      </c>
      <c r="I30" s="7">
        <f t="shared" si="1"/>
        <v>66.599999999999994</v>
      </c>
      <c r="J30" s="12">
        <f t="shared" si="0"/>
        <v>436.59999999999997</v>
      </c>
    </row>
    <row r="31" spans="1:16" x14ac:dyDescent="0.25">
      <c r="A31" s="5">
        <v>29</v>
      </c>
      <c r="B31" s="11" t="s">
        <v>70</v>
      </c>
      <c r="C31" s="10" t="s">
        <v>68</v>
      </c>
      <c r="D31" s="10" t="s">
        <v>71</v>
      </c>
      <c r="E31" s="10">
        <v>2.5</v>
      </c>
      <c r="F31" s="10">
        <f t="shared" si="4"/>
        <v>0.44999999999999996</v>
      </c>
      <c r="G31" s="10">
        <f t="shared" si="2"/>
        <v>2.95</v>
      </c>
      <c r="H31" s="10">
        <v>25</v>
      </c>
      <c r="I31" s="7">
        <f t="shared" si="1"/>
        <v>11.249999999999998</v>
      </c>
      <c r="J31" s="12">
        <f t="shared" si="0"/>
        <v>73.75</v>
      </c>
    </row>
    <row r="32" spans="1:16" x14ac:dyDescent="0.25">
      <c r="A32" s="5">
        <v>30</v>
      </c>
      <c r="B32" s="11" t="s">
        <v>72</v>
      </c>
      <c r="C32" s="10" t="s">
        <v>68</v>
      </c>
      <c r="D32" s="10" t="s">
        <v>73</v>
      </c>
      <c r="E32" s="10">
        <v>3.1</v>
      </c>
      <c r="F32" s="10">
        <f t="shared" si="4"/>
        <v>0.55799999999999994</v>
      </c>
      <c r="G32" s="10">
        <f t="shared" si="2"/>
        <v>3.6579999999999999</v>
      </c>
      <c r="H32" s="10">
        <v>5</v>
      </c>
      <c r="I32" s="7">
        <f t="shared" si="1"/>
        <v>2.7899999999999996</v>
      </c>
      <c r="J32" s="12">
        <f t="shared" si="0"/>
        <v>18.29</v>
      </c>
    </row>
    <row r="33" spans="1:10" ht="15.75" thickBot="1" x14ac:dyDescent="0.3">
      <c r="A33" s="5">
        <v>31</v>
      </c>
      <c r="B33" s="22" t="s">
        <v>74</v>
      </c>
      <c r="C33" s="14" t="s">
        <v>68</v>
      </c>
      <c r="D33" s="14" t="s">
        <v>66</v>
      </c>
      <c r="E33" s="14">
        <v>140</v>
      </c>
      <c r="F33" s="14">
        <f t="shared" si="4"/>
        <v>25.2</v>
      </c>
      <c r="G33" s="14">
        <f t="shared" si="2"/>
        <v>165.2</v>
      </c>
      <c r="H33" s="14">
        <v>0.5</v>
      </c>
      <c r="I33" s="15">
        <f t="shared" si="1"/>
        <v>12.6</v>
      </c>
      <c r="J33" s="16">
        <f t="shared" si="0"/>
        <v>82.6</v>
      </c>
    </row>
    <row r="34" spans="1:10" ht="15.75" thickBot="1" x14ac:dyDescent="0.3">
      <c r="A34" s="31" t="s">
        <v>75</v>
      </c>
      <c r="B34" s="32"/>
      <c r="C34" s="32"/>
      <c r="D34" s="32"/>
      <c r="E34" s="33"/>
      <c r="F34" s="2">
        <f>SUM(F3:F33)</f>
        <v>2979.9695999999999</v>
      </c>
      <c r="G34" s="2">
        <f>SUM(G3:G33)</f>
        <v>42393.689600000012</v>
      </c>
      <c r="H34" s="2"/>
      <c r="I34" s="3">
        <f>SUM(I3:I33)</f>
        <v>9153.742000000002</v>
      </c>
      <c r="J34" s="17">
        <f>SUM(J3:J33)</f>
        <v>144435.64200000005</v>
      </c>
    </row>
    <row r="35" spans="1:10" x14ac:dyDescent="0.25">
      <c r="H35" t="s">
        <v>76</v>
      </c>
      <c r="J35" s="18">
        <v>2000</v>
      </c>
    </row>
    <row r="36" spans="1:10" x14ac:dyDescent="0.25">
      <c r="J36" s="19">
        <f>J34*9%</f>
        <v>12999.207780000004</v>
      </c>
    </row>
    <row r="37" spans="1:10" x14ac:dyDescent="0.25">
      <c r="J37" s="19">
        <f>J34+J35+J36</f>
        <v>159434.84978000005</v>
      </c>
    </row>
  </sheetData>
  <mergeCells count="2">
    <mergeCell ref="A1:J1"/>
    <mergeCell ref="A34:E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>
      <selection activeCell="N8" sqref="N8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92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94</v>
      </c>
      <c r="E3" s="6">
        <v>17050</v>
      </c>
      <c r="F3" s="6">
        <f>E3*5%</f>
        <v>852.5</v>
      </c>
      <c r="G3" s="6">
        <f>E3+F3</f>
        <v>17902.5</v>
      </c>
      <c r="H3" s="6">
        <v>0</v>
      </c>
      <c r="I3" s="7">
        <f>F3*H3</f>
        <v>0</v>
      </c>
      <c r="J3" s="8">
        <f t="shared" ref="J3:J32" si="0">G3*H3</f>
        <v>0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16</v>
      </c>
      <c r="E4" s="10">
        <v>14600</v>
      </c>
      <c r="F4" s="6">
        <f>E4*5%</f>
        <v>730</v>
      </c>
      <c r="G4" s="6">
        <f>E4+F4</f>
        <v>15330</v>
      </c>
      <c r="H4" s="10">
        <v>0</v>
      </c>
      <c r="I4" s="7">
        <f t="shared" ref="I4:I32" si="1">F4*H4</f>
        <v>0</v>
      </c>
      <c r="J4" s="8">
        <f t="shared" si="0"/>
        <v>0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95</v>
      </c>
      <c r="E5" s="27">
        <v>1490</v>
      </c>
      <c r="F5" s="10">
        <f>E5*18%</f>
        <v>268.2</v>
      </c>
      <c r="G5" s="6">
        <f>E5+F5</f>
        <v>1758.2</v>
      </c>
      <c r="H5" s="10">
        <v>3</v>
      </c>
      <c r="I5" s="7">
        <f t="shared" si="1"/>
        <v>804.59999999999991</v>
      </c>
      <c r="J5" s="8">
        <f t="shared" si="0"/>
        <v>5274.6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2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44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2</v>
      </c>
      <c r="I7" s="7">
        <f t="shared" si="1"/>
        <v>408.59999999999997</v>
      </c>
      <c r="J7" s="8">
        <f t="shared" si="0"/>
        <v>2678.6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44</v>
      </c>
      <c r="E8" s="27">
        <v>100</v>
      </c>
      <c r="F8" s="10">
        <f t="shared" ref="F8:F32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27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33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16</v>
      </c>
      <c r="I10" s="7">
        <f t="shared" si="1"/>
        <v>28.799999999999997</v>
      </c>
      <c r="J10" s="8">
        <f t="shared" si="0"/>
        <v>188.8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96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12</v>
      </c>
      <c r="I11" s="7">
        <f t="shared" si="1"/>
        <v>19.439999999999998</v>
      </c>
      <c r="J11" s="8">
        <f t="shared" si="0"/>
        <v>127.44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90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6</v>
      </c>
      <c r="I13" s="7">
        <f t="shared" si="1"/>
        <v>22.68</v>
      </c>
      <c r="J13" s="8">
        <f t="shared" si="0"/>
        <v>148.68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130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1</v>
      </c>
      <c r="I15" s="7">
        <f t="shared" si="1"/>
        <v>30.599999999999998</v>
      </c>
      <c r="J15" s="8">
        <f t="shared" si="0"/>
        <v>200.6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2</v>
      </c>
      <c r="I16" s="7">
        <f t="shared" si="1"/>
        <v>12.6</v>
      </c>
      <c r="J16" s="8">
        <f t="shared" si="0"/>
        <v>82.6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800</v>
      </c>
      <c r="F17" s="10">
        <f t="shared" si="3"/>
        <v>144</v>
      </c>
      <c r="G17" s="10">
        <f t="shared" si="2"/>
        <v>944</v>
      </c>
      <c r="H17" s="10">
        <v>1</v>
      </c>
      <c r="I17" s="7">
        <f t="shared" si="1"/>
        <v>144</v>
      </c>
      <c r="J17" s="12">
        <f t="shared" si="0"/>
        <v>944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800</v>
      </c>
      <c r="F18" s="10">
        <f t="shared" si="3"/>
        <v>144</v>
      </c>
      <c r="G18" s="10">
        <f t="shared" si="2"/>
        <v>944</v>
      </c>
      <c r="H18" s="10">
        <v>1</v>
      </c>
      <c r="I18" s="7">
        <f t="shared" si="1"/>
        <v>144</v>
      </c>
      <c r="J18" s="12">
        <f t="shared" si="0"/>
        <v>944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54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54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141</v>
      </c>
      <c r="E23" s="27">
        <v>50</v>
      </c>
      <c r="F23" s="10">
        <f t="shared" si="3"/>
        <v>9</v>
      </c>
      <c r="G23" s="10">
        <f t="shared" si="2"/>
        <v>59</v>
      </c>
      <c r="H23" s="10">
        <v>10</v>
      </c>
      <c r="I23" s="7">
        <f t="shared" si="1"/>
        <v>90</v>
      </c>
      <c r="J23" s="12">
        <f t="shared" si="0"/>
        <v>590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141</v>
      </c>
      <c r="E24" s="27">
        <v>50</v>
      </c>
      <c r="F24" s="10">
        <f t="shared" si="3"/>
        <v>9</v>
      </c>
      <c r="G24" s="10">
        <f t="shared" si="2"/>
        <v>59</v>
      </c>
      <c r="H24" s="10">
        <v>10</v>
      </c>
      <c r="I24" s="7">
        <f t="shared" si="1"/>
        <v>90</v>
      </c>
      <c r="J24" s="12">
        <f t="shared" si="0"/>
        <v>590</v>
      </c>
    </row>
    <row r="25" spans="1:14" x14ac:dyDescent="0.25">
      <c r="A25" s="5">
        <v>23</v>
      </c>
      <c r="B25" s="11" t="s">
        <v>57</v>
      </c>
      <c r="C25" s="10" t="s">
        <v>58</v>
      </c>
      <c r="D25" s="10" t="s">
        <v>54</v>
      </c>
      <c r="E25" s="27">
        <v>22.77</v>
      </c>
      <c r="F25" s="10">
        <f t="shared" si="3"/>
        <v>4.0985999999999994</v>
      </c>
      <c r="G25" s="10">
        <f t="shared" si="2"/>
        <v>26.868600000000001</v>
      </c>
      <c r="H25" s="10">
        <v>20</v>
      </c>
      <c r="I25" s="7">
        <f t="shared" si="1"/>
        <v>81.97199999999998</v>
      </c>
      <c r="J25" s="12">
        <f t="shared" si="0"/>
        <v>537.37200000000007</v>
      </c>
      <c r="N25" s="21"/>
    </row>
    <row r="26" spans="1:14" ht="30" x14ac:dyDescent="0.25">
      <c r="A26" s="5">
        <v>24</v>
      </c>
      <c r="B26" s="23" t="s">
        <v>59</v>
      </c>
      <c r="C26" s="10" t="s">
        <v>58</v>
      </c>
      <c r="D26" s="10" t="s">
        <v>60</v>
      </c>
      <c r="E26" s="27">
        <v>31.35</v>
      </c>
      <c r="F26" s="10">
        <f t="shared" si="3"/>
        <v>5.6429999999999998</v>
      </c>
      <c r="G26" s="10">
        <f t="shared" si="2"/>
        <v>36.993000000000002</v>
      </c>
      <c r="H26" s="10">
        <v>30</v>
      </c>
      <c r="I26" s="7">
        <f t="shared" si="1"/>
        <v>169.29</v>
      </c>
      <c r="J26" s="12">
        <f t="shared" si="0"/>
        <v>1109.79</v>
      </c>
      <c r="N26" s="20"/>
    </row>
    <row r="27" spans="1:14" x14ac:dyDescent="0.25">
      <c r="A27" s="5">
        <v>25</v>
      </c>
      <c r="B27" s="25" t="s">
        <v>62</v>
      </c>
      <c r="C27" s="10" t="s">
        <v>63</v>
      </c>
      <c r="D27" s="10" t="s">
        <v>44</v>
      </c>
      <c r="E27" s="27">
        <v>25</v>
      </c>
      <c r="F27" s="10">
        <f t="shared" si="3"/>
        <v>4.5</v>
      </c>
      <c r="G27" s="10">
        <f t="shared" si="2"/>
        <v>29.5</v>
      </c>
      <c r="H27" s="10">
        <v>2</v>
      </c>
      <c r="I27" s="7">
        <f t="shared" si="1"/>
        <v>9</v>
      </c>
      <c r="J27" s="12">
        <f t="shared" si="0"/>
        <v>59</v>
      </c>
    </row>
    <row r="28" spans="1:14" x14ac:dyDescent="0.25">
      <c r="A28" s="5">
        <v>26</v>
      </c>
      <c r="B28" s="11" t="s">
        <v>64</v>
      </c>
      <c r="C28" s="10" t="s">
        <v>65</v>
      </c>
      <c r="D28" s="10" t="s">
        <v>66</v>
      </c>
      <c r="E28" s="27">
        <v>90</v>
      </c>
      <c r="F28" s="10">
        <f t="shared" si="3"/>
        <v>16.2</v>
      </c>
      <c r="G28" s="10">
        <f t="shared" si="2"/>
        <v>106.2</v>
      </c>
      <c r="H28" s="10">
        <v>1</v>
      </c>
      <c r="I28" s="7">
        <f t="shared" si="1"/>
        <v>16.2</v>
      </c>
      <c r="J28" s="12">
        <f t="shared" si="0"/>
        <v>106.2</v>
      </c>
    </row>
    <row r="29" spans="1:14" x14ac:dyDescent="0.25">
      <c r="A29" s="5">
        <v>27</v>
      </c>
      <c r="B29" s="11" t="s">
        <v>67</v>
      </c>
      <c r="C29" s="10" t="s">
        <v>68</v>
      </c>
      <c r="D29" s="10" t="s">
        <v>69</v>
      </c>
      <c r="E29" s="27">
        <v>37</v>
      </c>
      <c r="F29" s="10">
        <f t="shared" si="3"/>
        <v>6.66</v>
      </c>
      <c r="G29" s="10">
        <f t="shared" si="2"/>
        <v>43.66</v>
      </c>
      <c r="H29" s="10">
        <v>10</v>
      </c>
      <c r="I29" s="7">
        <f t="shared" si="1"/>
        <v>66.599999999999994</v>
      </c>
      <c r="J29" s="12">
        <f t="shared" si="0"/>
        <v>436.59999999999997</v>
      </c>
    </row>
    <row r="30" spans="1:14" x14ac:dyDescent="0.25">
      <c r="A30" s="5">
        <v>28</v>
      </c>
      <c r="B30" s="11" t="s">
        <v>70</v>
      </c>
      <c r="C30" s="10" t="s">
        <v>68</v>
      </c>
      <c r="D30" s="10" t="s">
        <v>98</v>
      </c>
      <c r="E30" s="10">
        <v>2.5</v>
      </c>
      <c r="F30" s="10">
        <f t="shared" si="3"/>
        <v>0.44999999999999996</v>
      </c>
      <c r="G30" s="10">
        <f t="shared" si="2"/>
        <v>2.95</v>
      </c>
      <c r="H30" s="10">
        <v>25</v>
      </c>
      <c r="I30" s="7">
        <f t="shared" si="1"/>
        <v>11.249999999999998</v>
      </c>
      <c r="J30" s="12">
        <f t="shared" si="0"/>
        <v>73.75</v>
      </c>
    </row>
    <row r="31" spans="1:14" x14ac:dyDescent="0.25">
      <c r="A31" s="5">
        <v>29</v>
      </c>
      <c r="B31" s="11" t="s">
        <v>72</v>
      </c>
      <c r="C31" s="10" t="s">
        <v>68</v>
      </c>
      <c r="D31" s="10" t="s">
        <v>73</v>
      </c>
      <c r="E31" s="10">
        <v>3.1</v>
      </c>
      <c r="F31" s="10">
        <f t="shared" si="3"/>
        <v>0.55799999999999994</v>
      </c>
      <c r="G31" s="10">
        <f t="shared" si="2"/>
        <v>3.6579999999999999</v>
      </c>
      <c r="H31" s="10">
        <v>5</v>
      </c>
      <c r="I31" s="7">
        <f t="shared" si="1"/>
        <v>2.7899999999999996</v>
      </c>
      <c r="J31" s="12">
        <f t="shared" si="0"/>
        <v>18.29</v>
      </c>
    </row>
    <row r="32" spans="1:14" ht="15.75" thickBot="1" x14ac:dyDescent="0.3">
      <c r="A32" s="5">
        <v>30</v>
      </c>
      <c r="B32" s="22" t="s">
        <v>74</v>
      </c>
      <c r="C32" s="14" t="s">
        <v>68</v>
      </c>
      <c r="D32" s="14" t="s">
        <v>99</v>
      </c>
      <c r="E32" s="14">
        <v>140</v>
      </c>
      <c r="F32" s="14">
        <f t="shared" si="3"/>
        <v>25.2</v>
      </c>
      <c r="G32" s="14">
        <f t="shared" si="2"/>
        <v>165.2</v>
      </c>
      <c r="H32" s="14">
        <v>0.5</v>
      </c>
      <c r="I32" s="15">
        <f t="shared" si="1"/>
        <v>12.6</v>
      </c>
      <c r="J32" s="16">
        <f t="shared" si="0"/>
        <v>82.6</v>
      </c>
    </row>
    <row r="33" spans="1:10" ht="15.75" thickBot="1" x14ac:dyDescent="0.3">
      <c r="A33" s="31" t="s">
        <v>75</v>
      </c>
      <c r="B33" s="32"/>
      <c r="C33" s="32"/>
      <c r="D33" s="32"/>
      <c r="E33" s="33"/>
      <c r="F33" s="2">
        <f>SUM(F3:F32)</f>
        <v>2980.3295999999996</v>
      </c>
      <c r="G33" s="2">
        <f>SUM(G3:G32)</f>
        <v>42396.049600000013</v>
      </c>
      <c r="H33" s="2"/>
      <c r="I33" s="3">
        <f>SUM(I3:I32)</f>
        <v>2730.7619999999997</v>
      </c>
      <c r="J33" s="17">
        <f>SUM(J3:J32)</f>
        <v>17901.661999999997</v>
      </c>
    </row>
    <row r="34" spans="1:10" x14ac:dyDescent="0.25">
      <c r="H34" t="s">
        <v>76</v>
      </c>
      <c r="J34" s="18">
        <v>2000</v>
      </c>
    </row>
    <row r="35" spans="1:10" x14ac:dyDescent="0.25">
      <c r="J35" s="19">
        <f>J33*9%</f>
        <v>1611.1495799999996</v>
      </c>
    </row>
    <row r="36" spans="1:10" x14ac:dyDescent="0.25">
      <c r="J36" s="19">
        <f>J33+J34+J35</f>
        <v>21512.811579999998</v>
      </c>
    </row>
  </sheetData>
  <mergeCells count="2">
    <mergeCell ref="A1:J1"/>
    <mergeCell ref="A33:E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opLeftCell="A7" workbookViewId="0">
      <selection activeCell="J6" sqref="J6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93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103</v>
      </c>
      <c r="E3" s="6">
        <v>14310</v>
      </c>
      <c r="F3" s="6">
        <f>E3*5%</f>
        <v>715.5</v>
      </c>
      <c r="G3" s="6">
        <f>E3+F3</f>
        <v>15025.5</v>
      </c>
      <c r="H3" s="6">
        <v>0</v>
      </c>
      <c r="I3" s="7">
        <f>F3*H3</f>
        <v>0</v>
      </c>
      <c r="J3" s="8">
        <f t="shared" ref="J3:J32" si="0">G3*H3</f>
        <v>0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16</v>
      </c>
      <c r="E4" s="10">
        <v>14600</v>
      </c>
      <c r="F4" s="6">
        <f>E4*5%</f>
        <v>730</v>
      </c>
      <c r="G4" s="6">
        <f>E4+F4</f>
        <v>15330</v>
      </c>
      <c r="H4" s="10">
        <v>0</v>
      </c>
      <c r="I4" s="7">
        <f t="shared" ref="I4:I32" si="1">F4*H4</f>
        <v>0</v>
      </c>
      <c r="J4" s="8">
        <f t="shared" si="0"/>
        <v>0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95</v>
      </c>
      <c r="E5" s="27">
        <v>1490</v>
      </c>
      <c r="F5" s="10">
        <f>E5*18%</f>
        <v>268.2</v>
      </c>
      <c r="G5" s="6">
        <f>E5+F5</f>
        <v>1758.2</v>
      </c>
      <c r="H5" s="10">
        <v>3</v>
      </c>
      <c r="I5" s="7">
        <f t="shared" si="1"/>
        <v>804.59999999999991</v>
      </c>
      <c r="J5" s="8">
        <f t="shared" si="0"/>
        <v>5274.6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2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95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3</v>
      </c>
      <c r="I7" s="7">
        <f t="shared" si="1"/>
        <v>612.9</v>
      </c>
      <c r="J7" s="8">
        <f t="shared" si="0"/>
        <v>4017.8999999999996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44</v>
      </c>
      <c r="E8" s="27">
        <v>100</v>
      </c>
      <c r="F8" s="10">
        <f t="shared" ref="F8:F32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27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71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20</v>
      </c>
      <c r="I10" s="7">
        <f t="shared" si="1"/>
        <v>36</v>
      </c>
      <c r="J10" s="8">
        <f t="shared" si="0"/>
        <v>236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96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12</v>
      </c>
      <c r="I11" s="7">
        <f t="shared" si="1"/>
        <v>19.439999999999998</v>
      </c>
      <c r="J11" s="8">
        <f t="shared" si="0"/>
        <v>127.44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90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6</v>
      </c>
      <c r="I13" s="7">
        <f t="shared" si="1"/>
        <v>22.68</v>
      </c>
      <c r="J13" s="8">
        <f t="shared" si="0"/>
        <v>148.68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130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1</v>
      </c>
      <c r="I15" s="7">
        <f t="shared" si="1"/>
        <v>30.599999999999998</v>
      </c>
      <c r="J15" s="8">
        <f t="shared" si="0"/>
        <v>200.6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44</v>
      </c>
      <c r="E16" s="27">
        <v>35</v>
      </c>
      <c r="F16" s="10">
        <f t="shared" si="3"/>
        <v>6.3</v>
      </c>
      <c r="G16" s="6">
        <f t="shared" si="2"/>
        <v>41.3</v>
      </c>
      <c r="H16" s="10">
        <v>2</v>
      </c>
      <c r="I16" s="7">
        <f t="shared" si="1"/>
        <v>12.6</v>
      </c>
      <c r="J16" s="8">
        <f t="shared" si="0"/>
        <v>82.6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800</v>
      </c>
      <c r="F17" s="10">
        <f t="shared" si="3"/>
        <v>144</v>
      </c>
      <c r="G17" s="10">
        <f t="shared" si="2"/>
        <v>944</v>
      </c>
      <c r="H17" s="10">
        <v>1</v>
      </c>
      <c r="I17" s="7">
        <f t="shared" si="1"/>
        <v>144</v>
      </c>
      <c r="J17" s="12">
        <f t="shared" si="0"/>
        <v>944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800</v>
      </c>
      <c r="F18" s="10">
        <f t="shared" si="3"/>
        <v>144</v>
      </c>
      <c r="G18" s="10">
        <f t="shared" si="2"/>
        <v>944</v>
      </c>
      <c r="H18" s="10">
        <v>1</v>
      </c>
      <c r="I18" s="7">
        <f t="shared" si="1"/>
        <v>144</v>
      </c>
      <c r="J18" s="12">
        <f t="shared" si="0"/>
        <v>944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54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54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142</v>
      </c>
      <c r="E23" s="27">
        <v>50</v>
      </c>
      <c r="F23" s="10">
        <f t="shared" si="3"/>
        <v>9</v>
      </c>
      <c r="G23" s="10">
        <f t="shared" si="2"/>
        <v>59</v>
      </c>
      <c r="H23" s="10">
        <v>10</v>
      </c>
      <c r="I23" s="7">
        <f t="shared" si="1"/>
        <v>90</v>
      </c>
      <c r="J23" s="12">
        <f t="shared" si="0"/>
        <v>590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142</v>
      </c>
      <c r="E24" s="27">
        <v>50</v>
      </c>
      <c r="F24" s="10">
        <f t="shared" si="3"/>
        <v>9</v>
      </c>
      <c r="G24" s="10">
        <f t="shared" si="2"/>
        <v>59</v>
      </c>
      <c r="H24" s="10">
        <v>10</v>
      </c>
      <c r="I24" s="7">
        <f t="shared" si="1"/>
        <v>90</v>
      </c>
      <c r="J24" s="12">
        <f t="shared" si="0"/>
        <v>590</v>
      </c>
    </row>
    <row r="25" spans="1:14" x14ac:dyDescent="0.25">
      <c r="A25" s="5">
        <v>23</v>
      </c>
      <c r="B25" s="11" t="s">
        <v>57</v>
      </c>
      <c r="C25" s="10" t="s">
        <v>58</v>
      </c>
      <c r="D25" s="10" t="s">
        <v>54</v>
      </c>
      <c r="E25" s="27">
        <v>22.77</v>
      </c>
      <c r="F25" s="10">
        <f t="shared" si="3"/>
        <v>4.0985999999999994</v>
      </c>
      <c r="G25" s="10">
        <f t="shared" si="2"/>
        <v>26.868600000000001</v>
      </c>
      <c r="H25" s="10">
        <v>20</v>
      </c>
      <c r="I25" s="7">
        <f t="shared" si="1"/>
        <v>81.97199999999998</v>
      </c>
      <c r="J25" s="12">
        <f t="shared" si="0"/>
        <v>537.37200000000007</v>
      </c>
      <c r="N25" s="21"/>
    </row>
    <row r="26" spans="1:14" ht="30" x14ac:dyDescent="0.25">
      <c r="A26" s="5">
        <v>24</v>
      </c>
      <c r="B26" s="23" t="s">
        <v>59</v>
      </c>
      <c r="C26" s="10" t="s">
        <v>58</v>
      </c>
      <c r="D26" s="10" t="s">
        <v>60</v>
      </c>
      <c r="E26" s="27">
        <v>31.35</v>
      </c>
      <c r="F26" s="10">
        <f t="shared" si="3"/>
        <v>5.6429999999999998</v>
      </c>
      <c r="G26" s="10">
        <f t="shared" si="2"/>
        <v>36.993000000000002</v>
      </c>
      <c r="H26" s="10">
        <v>30</v>
      </c>
      <c r="I26" s="7">
        <f t="shared" si="1"/>
        <v>169.29</v>
      </c>
      <c r="J26" s="12">
        <f t="shared" si="0"/>
        <v>1109.79</v>
      </c>
      <c r="N26" s="20"/>
    </row>
    <row r="27" spans="1:14" x14ac:dyDescent="0.25">
      <c r="A27" s="5">
        <v>25</v>
      </c>
      <c r="B27" s="25" t="s">
        <v>62</v>
      </c>
      <c r="C27" s="10" t="s">
        <v>63</v>
      </c>
      <c r="D27" s="10" t="s">
        <v>44</v>
      </c>
      <c r="E27" s="10">
        <v>25</v>
      </c>
      <c r="F27" s="10">
        <f t="shared" si="3"/>
        <v>4.5</v>
      </c>
      <c r="G27" s="10">
        <f t="shared" si="2"/>
        <v>29.5</v>
      </c>
      <c r="H27" s="10">
        <v>2</v>
      </c>
      <c r="I27" s="7">
        <f t="shared" si="1"/>
        <v>9</v>
      </c>
      <c r="J27" s="12">
        <f t="shared" si="0"/>
        <v>59</v>
      </c>
    </row>
    <row r="28" spans="1:14" x14ac:dyDescent="0.25">
      <c r="A28" s="5">
        <v>26</v>
      </c>
      <c r="B28" s="11" t="s">
        <v>64</v>
      </c>
      <c r="C28" s="10" t="s">
        <v>65</v>
      </c>
      <c r="D28" s="10" t="s">
        <v>66</v>
      </c>
      <c r="E28" s="10">
        <v>90</v>
      </c>
      <c r="F28" s="10">
        <f t="shared" si="3"/>
        <v>16.2</v>
      </c>
      <c r="G28" s="10">
        <f t="shared" si="2"/>
        <v>106.2</v>
      </c>
      <c r="H28" s="10">
        <v>1</v>
      </c>
      <c r="I28" s="7">
        <f t="shared" si="1"/>
        <v>16.2</v>
      </c>
      <c r="J28" s="12">
        <f t="shared" si="0"/>
        <v>106.2</v>
      </c>
    </row>
    <row r="29" spans="1:14" x14ac:dyDescent="0.25">
      <c r="A29" s="5">
        <v>27</v>
      </c>
      <c r="B29" s="11" t="s">
        <v>67</v>
      </c>
      <c r="C29" s="10" t="s">
        <v>68</v>
      </c>
      <c r="D29" s="10" t="s">
        <v>69</v>
      </c>
      <c r="E29" s="10">
        <v>37</v>
      </c>
      <c r="F29" s="10">
        <f t="shared" si="3"/>
        <v>6.66</v>
      </c>
      <c r="G29" s="10">
        <f t="shared" si="2"/>
        <v>43.66</v>
      </c>
      <c r="H29" s="10">
        <v>10</v>
      </c>
      <c r="I29" s="7">
        <f t="shared" si="1"/>
        <v>66.599999999999994</v>
      </c>
      <c r="J29" s="12">
        <f t="shared" si="0"/>
        <v>436.59999999999997</v>
      </c>
    </row>
    <row r="30" spans="1:14" x14ac:dyDescent="0.25">
      <c r="A30" s="5">
        <v>28</v>
      </c>
      <c r="B30" s="11" t="s">
        <v>70</v>
      </c>
      <c r="C30" s="10" t="s">
        <v>68</v>
      </c>
      <c r="D30" s="10" t="s">
        <v>98</v>
      </c>
      <c r="E30" s="10">
        <v>2.5</v>
      </c>
      <c r="F30" s="10">
        <f t="shared" si="3"/>
        <v>0.44999999999999996</v>
      </c>
      <c r="G30" s="10">
        <f t="shared" si="2"/>
        <v>2.95</v>
      </c>
      <c r="H30" s="10">
        <v>25</v>
      </c>
      <c r="I30" s="7">
        <f t="shared" si="1"/>
        <v>11.249999999999998</v>
      </c>
      <c r="J30" s="12">
        <f t="shared" si="0"/>
        <v>73.75</v>
      </c>
    </row>
    <row r="31" spans="1:14" x14ac:dyDescent="0.25">
      <c r="A31" s="5">
        <v>29</v>
      </c>
      <c r="B31" s="11" t="s">
        <v>72</v>
      </c>
      <c r="C31" s="10" t="s">
        <v>68</v>
      </c>
      <c r="D31" s="10" t="s">
        <v>73</v>
      </c>
      <c r="E31" s="10">
        <v>3.1</v>
      </c>
      <c r="F31" s="10">
        <f t="shared" si="3"/>
        <v>0.55799999999999994</v>
      </c>
      <c r="G31" s="10">
        <f t="shared" si="2"/>
        <v>3.6579999999999999</v>
      </c>
      <c r="H31" s="10">
        <v>5</v>
      </c>
      <c r="I31" s="7">
        <f t="shared" si="1"/>
        <v>2.7899999999999996</v>
      </c>
      <c r="J31" s="12">
        <f t="shared" si="0"/>
        <v>18.29</v>
      </c>
    </row>
    <row r="32" spans="1:14" ht="15.75" thickBot="1" x14ac:dyDescent="0.3">
      <c r="A32" s="5">
        <v>30</v>
      </c>
      <c r="B32" s="22" t="s">
        <v>74</v>
      </c>
      <c r="C32" s="14" t="s">
        <v>68</v>
      </c>
      <c r="D32" s="14" t="s">
        <v>99</v>
      </c>
      <c r="E32" s="14">
        <v>140</v>
      </c>
      <c r="F32" s="14">
        <f t="shared" si="3"/>
        <v>25.2</v>
      </c>
      <c r="G32" s="14">
        <f t="shared" si="2"/>
        <v>165.2</v>
      </c>
      <c r="H32" s="14">
        <v>0.5</v>
      </c>
      <c r="I32" s="15">
        <f t="shared" si="1"/>
        <v>12.6</v>
      </c>
      <c r="J32" s="16">
        <f t="shared" si="0"/>
        <v>82.6</v>
      </c>
    </row>
    <row r="33" spans="1:10" ht="15.75" thickBot="1" x14ac:dyDescent="0.3">
      <c r="A33" s="31" t="s">
        <v>75</v>
      </c>
      <c r="B33" s="32"/>
      <c r="C33" s="32"/>
      <c r="D33" s="32"/>
      <c r="E33" s="33"/>
      <c r="F33" s="2">
        <f>SUM(F3:F32)</f>
        <v>2843.3295999999996</v>
      </c>
      <c r="G33" s="2">
        <f>SUM(G3:G32)</f>
        <v>39519.04960000002</v>
      </c>
      <c r="H33" s="2"/>
      <c r="I33" s="3">
        <f>SUM(I3:I32)</f>
        <v>2942.2619999999997</v>
      </c>
      <c r="J33" s="17">
        <f>SUM(J3:J32)</f>
        <v>19288.161999999997</v>
      </c>
    </row>
    <row r="34" spans="1:10" x14ac:dyDescent="0.25">
      <c r="H34" t="s">
        <v>76</v>
      </c>
      <c r="J34" s="18">
        <v>2000</v>
      </c>
    </row>
    <row r="35" spans="1:10" x14ac:dyDescent="0.25">
      <c r="J35" s="19">
        <f>J33*9%</f>
        <v>1735.9345799999996</v>
      </c>
    </row>
    <row r="36" spans="1:10" x14ac:dyDescent="0.25">
      <c r="J36" s="19">
        <f>J33+J34+J35</f>
        <v>23024.096579999998</v>
      </c>
    </row>
  </sheetData>
  <mergeCells count="2">
    <mergeCell ref="A1:J1"/>
    <mergeCell ref="A33:E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workbookViewId="0">
      <selection activeCell="M8" sqref="M8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13</v>
      </c>
      <c r="E3" s="6">
        <v>17050</v>
      </c>
      <c r="F3" s="6">
        <f>E3*5%</f>
        <v>852.5</v>
      </c>
      <c r="G3" s="6">
        <f>E3+F3</f>
        <v>17902.5</v>
      </c>
      <c r="H3" s="6">
        <v>0</v>
      </c>
      <c r="I3" s="7">
        <f>F3*H3</f>
        <v>0</v>
      </c>
      <c r="J3" s="8">
        <f t="shared" ref="J3:J33" si="0">G3*H3</f>
        <v>0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16</v>
      </c>
      <c r="E4" s="10">
        <v>14700</v>
      </c>
      <c r="F4" s="6">
        <f>E4*5%</f>
        <v>735</v>
      </c>
      <c r="G4" s="6">
        <f>E4+F4</f>
        <v>15435</v>
      </c>
      <c r="H4" s="10">
        <v>0</v>
      </c>
      <c r="I4" s="7">
        <f t="shared" ref="I4:I33" si="1">F4*H4</f>
        <v>0</v>
      </c>
      <c r="J4" s="8">
        <f t="shared" si="0"/>
        <v>0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95</v>
      </c>
      <c r="E5" s="27">
        <v>1490</v>
      </c>
      <c r="F5" s="10">
        <f>E5*18%</f>
        <v>268.2</v>
      </c>
      <c r="G5" s="6">
        <f>E5+F5</f>
        <v>1758.2</v>
      </c>
      <c r="H5" s="10">
        <v>3</v>
      </c>
      <c r="I5" s="7">
        <f t="shared" si="1"/>
        <v>804.59999999999991</v>
      </c>
      <c r="J5" s="8">
        <f t="shared" si="0"/>
        <v>5274.6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3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95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3</v>
      </c>
      <c r="I7" s="7">
        <f t="shared" si="1"/>
        <v>612.9</v>
      </c>
      <c r="J7" s="8">
        <f t="shared" si="0"/>
        <v>4017.8999999999996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44</v>
      </c>
      <c r="E8" s="27">
        <v>100</v>
      </c>
      <c r="F8" s="10">
        <f t="shared" ref="F8:F33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27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100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24</v>
      </c>
      <c r="I10" s="7">
        <f t="shared" si="1"/>
        <v>43.199999999999996</v>
      </c>
      <c r="J10" s="8">
        <f t="shared" si="0"/>
        <v>283.20000000000005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96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12</v>
      </c>
      <c r="I11" s="7">
        <f t="shared" si="1"/>
        <v>19.439999999999998</v>
      </c>
      <c r="J11" s="8">
        <f t="shared" si="0"/>
        <v>127.44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90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6</v>
      </c>
      <c r="I13" s="7">
        <f t="shared" si="1"/>
        <v>22.68</v>
      </c>
      <c r="J13" s="8">
        <f t="shared" si="0"/>
        <v>148.68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41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1</v>
      </c>
      <c r="I15" s="7">
        <f t="shared" si="1"/>
        <v>30.599999999999998</v>
      </c>
      <c r="J15" s="8">
        <f t="shared" si="0"/>
        <v>200.6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2</v>
      </c>
      <c r="I16" s="7">
        <f t="shared" si="1"/>
        <v>12.6</v>
      </c>
      <c r="J16" s="8">
        <f t="shared" si="0"/>
        <v>82.6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800</v>
      </c>
      <c r="F17" s="10">
        <f t="shared" si="3"/>
        <v>144</v>
      </c>
      <c r="G17" s="10">
        <f t="shared" si="2"/>
        <v>944</v>
      </c>
      <c r="H17" s="10">
        <v>1</v>
      </c>
      <c r="I17" s="7">
        <f t="shared" si="1"/>
        <v>144</v>
      </c>
      <c r="J17" s="12">
        <f t="shared" si="0"/>
        <v>944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800</v>
      </c>
      <c r="F18" s="10">
        <f t="shared" si="3"/>
        <v>144</v>
      </c>
      <c r="G18" s="10">
        <f t="shared" si="2"/>
        <v>944</v>
      </c>
      <c r="H18" s="10">
        <v>1</v>
      </c>
      <c r="I18" s="7">
        <f t="shared" si="1"/>
        <v>144</v>
      </c>
      <c r="J18" s="12">
        <f t="shared" si="0"/>
        <v>944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54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54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141</v>
      </c>
      <c r="E23" s="27">
        <v>50</v>
      </c>
      <c r="F23" s="10">
        <f t="shared" si="3"/>
        <v>9</v>
      </c>
      <c r="G23" s="10">
        <f t="shared" si="2"/>
        <v>59</v>
      </c>
      <c r="H23" s="10">
        <v>10</v>
      </c>
      <c r="I23" s="7">
        <f t="shared" si="1"/>
        <v>90</v>
      </c>
      <c r="J23" s="12">
        <f t="shared" si="0"/>
        <v>590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141</v>
      </c>
      <c r="E24" s="27">
        <v>50</v>
      </c>
      <c r="F24" s="10">
        <f t="shared" si="3"/>
        <v>9</v>
      </c>
      <c r="G24" s="10">
        <f t="shared" si="2"/>
        <v>59</v>
      </c>
      <c r="H24" s="10">
        <v>10</v>
      </c>
      <c r="I24" s="7">
        <f t="shared" si="1"/>
        <v>90</v>
      </c>
      <c r="J24" s="12">
        <f t="shared" si="0"/>
        <v>590</v>
      </c>
    </row>
    <row r="25" spans="1:14" x14ac:dyDescent="0.25">
      <c r="A25" s="5">
        <v>23</v>
      </c>
      <c r="B25" s="11" t="s">
        <v>57</v>
      </c>
      <c r="C25" s="10" t="s">
        <v>58</v>
      </c>
      <c r="D25" s="10" t="s">
        <v>54</v>
      </c>
      <c r="E25" s="27">
        <v>22.77</v>
      </c>
      <c r="F25" s="10">
        <f t="shared" si="3"/>
        <v>4.0985999999999994</v>
      </c>
      <c r="G25" s="10">
        <f t="shared" si="2"/>
        <v>26.868600000000001</v>
      </c>
      <c r="H25" s="10">
        <v>20</v>
      </c>
      <c r="I25" s="7">
        <f t="shared" si="1"/>
        <v>81.97199999999998</v>
      </c>
      <c r="J25" s="12">
        <f t="shared" si="0"/>
        <v>537.37200000000007</v>
      </c>
      <c r="N25" s="21"/>
    </row>
    <row r="26" spans="1:14" ht="30" x14ac:dyDescent="0.25">
      <c r="A26" s="5">
        <v>24</v>
      </c>
      <c r="B26" s="23" t="s">
        <v>59</v>
      </c>
      <c r="C26" s="10" t="s">
        <v>58</v>
      </c>
      <c r="D26" s="10" t="s">
        <v>60</v>
      </c>
      <c r="E26" s="27">
        <v>31.35</v>
      </c>
      <c r="F26" s="10">
        <f t="shared" si="3"/>
        <v>5.6429999999999998</v>
      </c>
      <c r="G26" s="10">
        <f t="shared" si="2"/>
        <v>36.993000000000002</v>
      </c>
      <c r="H26" s="10">
        <v>30</v>
      </c>
      <c r="I26" s="7">
        <f t="shared" si="1"/>
        <v>169.29</v>
      </c>
      <c r="J26" s="12">
        <f t="shared" si="0"/>
        <v>1109.79</v>
      </c>
      <c r="N26" s="20"/>
    </row>
    <row r="27" spans="1:14" x14ac:dyDescent="0.25">
      <c r="A27" s="5">
        <v>25</v>
      </c>
      <c r="B27" s="23" t="s">
        <v>61</v>
      </c>
      <c r="C27" s="10" t="s">
        <v>53</v>
      </c>
      <c r="D27" s="10" t="s">
        <v>24</v>
      </c>
      <c r="E27" s="10">
        <v>0</v>
      </c>
      <c r="F27" s="10">
        <f t="shared" si="3"/>
        <v>0</v>
      </c>
      <c r="G27" s="10">
        <f t="shared" si="2"/>
        <v>0</v>
      </c>
      <c r="H27" s="10">
        <v>1</v>
      </c>
      <c r="I27" s="7">
        <f t="shared" si="1"/>
        <v>0</v>
      </c>
      <c r="J27" s="12">
        <f t="shared" si="0"/>
        <v>0</v>
      </c>
    </row>
    <row r="28" spans="1:14" x14ac:dyDescent="0.25">
      <c r="A28" s="5">
        <v>26</v>
      </c>
      <c r="B28" s="25" t="s">
        <v>62</v>
      </c>
      <c r="C28" s="10" t="s">
        <v>63</v>
      </c>
      <c r="D28" s="10" t="s">
        <v>44</v>
      </c>
      <c r="E28" s="10">
        <v>25</v>
      </c>
      <c r="F28" s="10">
        <f t="shared" si="3"/>
        <v>4.5</v>
      </c>
      <c r="G28" s="10">
        <f t="shared" si="2"/>
        <v>29.5</v>
      </c>
      <c r="H28" s="10">
        <v>2</v>
      </c>
      <c r="I28" s="7">
        <f t="shared" si="1"/>
        <v>9</v>
      </c>
      <c r="J28" s="12">
        <f t="shared" si="0"/>
        <v>59</v>
      </c>
    </row>
    <row r="29" spans="1:14" x14ac:dyDescent="0.25">
      <c r="A29" s="5">
        <v>27</v>
      </c>
      <c r="B29" s="11" t="s">
        <v>64</v>
      </c>
      <c r="C29" s="10" t="s">
        <v>65</v>
      </c>
      <c r="D29" s="10" t="s">
        <v>66</v>
      </c>
      <c r="E29" s="10">
        <v>90</v>
      </c>
      <c r="F29" s="10">
        <f t="shared" si="3"/>
        <v>16.2</v>
      </c>
      <c r="G29" s="10">
        <f t="shared" si="2"/>
        <v>106.2</v>
      </c>
      <c r="H29" s="10">
        <v>1</v>
      </c>
      <c r="I29" s="7">
        <f t="shared" si="1"/>
        <v>16.2</v>
      </c>
      <c r="J29" s="12">
        <f t="shared" si="0"/>
        <v>106.2</v>
      </c>
    </row>
    <row r="30" spans="1:14" x14ac:dyDescent="0.25">
      <c r="A30" s="5">
        <v>28</v>
      </c>
      <c r="B30" s="11" t="s">
        <v>67</v>
      </c>
      <c r="C30" s="10" t="s">
        <v>68</v>
      </c>
      <c r="D30" s="10" t="s">
        <v>69</v>
      </c>
      <c r="E30" s="10">
        <v>37</v>
      </c>
      <c r="F30" s="10">
        <f t="shared" si="3"/>
        <v>6.66</v>
      </c>
      <c r="G30" s="10">
        <f t="shared" si="2"/>
        <v>43.66</v>
      </c>
      <c r="H30" s="10">
        <v>10</v>
      </c>
      <c r="I30" s="7">
        <f t="shared" si="1"/>
        <v>66.599999999999994</v>
      </c>
      <c r="J30" s="12">
        <f t="shared" si="0"/>
        <v>436.59999999999997</v>
      </c>
    </row>
    <row r="31" spans="1:14" x14ac:dyDescent="0.25">
      <c r="A31" s="5">
        <v>29</v>
      </c>
      <c r="B31" s="11" t="s">
        <v>70</v>
      </c>
      <c r="C31" s="10" t="s">
        <v>68</v>
      </c>
      <c r="D31" s="10" t="s">
        <v>98</v>
      </c>
      <c r="E31" s="10">
        <v>2.5</v>
      </c>
      <c r="F31" s="10">
        <f t="shared" si="3"/>
        <v>0.44999999999999996</v>
      </c>
      <c r="G31" s="10">
        <f t="shared" si="2"/>
        <v>2.95</v>
      </c>
      <c r="H31" s="10">
        <v>25</v>
      </c>
      <c r="I31" s="7">
        <f t="shared" si="1"/>
        <v>11.249999999999998</v>
      </c>
      <c r="J31" s="12">
        <f t="shared" si="0"/>
        <v>73.75</v>
      </c>
    </row>
    <row r="32" spans="1:14" x14ac:dyDescent="0.25">
      <c r="A32" s="5">
        <v>30</v>
      </c>
      <c r="B32" s="11" t="s">
        <v>72</v>
      </c>
      <c r="C32" s="10" t="s">
        <v>68</v>
      </c>
      <c r="D32" s="10" t="s">
        <v>73</v>
      </c>
      <c r="E32" s="10">
        <v>3.1</v>
      </c>
      <c r="F32" s="10">
        <f t="shared" si="3"/>
        <v>0.55799999999999994</v>
      </c>
      <c r="G32" s="10">
        <f t="shared" si="2"/>
        <v>3.6579999999999999</v>
      </c>
      <c r="H32" s="10">
        <v>5</v>
      </c>
      <c r="I32" s="7">
        <f t="shared" si="1"/>
        <v>2.7899999999999996</v>
      </c>
      <c r="J32" s="12">
        <f t="shared" si="0"/>
        <v>18.29</v>
      </c>
    </row>
    <row r="33" spans="1:10" ht="15.75" thickBot="1" x14ac:dyDescent="0.3">
      <c r="A33" s="5">
        <v>31</v>
      </c>
      <c r="B33" s="22" t="s">
        <v>74</v>
      </c>
      <c r="C33" s="14" t="s">
        <v>68</v>
      </c>
      <c r="D33" s="14" t="s">
        <v>99</v>
      </c>
      <c r="E33" s="14">
        <v>140</v>
      </c>
      <c r="F33" s="14">
        <f t="shared" si="3"/>
        <v>25.2</v>
      </c>
      <c r="G33" s="14">
        <f t="shared" si="2"/>
        <v>165.2</v>
      </c>
      <c r="H33" s="14">
        <v>0.5</v>
      </c>
      <c r="I33" s="15">
        <f t="shared" si="1"/>
        <v>12.6</v>
      </c>
      <c r="J33" s="16">
        <f t="shared" si="0"/>
        <v>82.6</v>
      </c>
    </row>
    <row r="34" spans="1:10" ht="15.75" thickBot="1" x14ac:dyDescent="0.3">
      <c r="A34" s="31" t="s">
        <v>75</v>
      </c>
      <c r="B34" s="32"/>
      <c r="C34" s="32"/>
      <c r="D34" s="32"/>
      <c r="E34" s="33"/>
      <c r="F34" s="2">
        <f>SUM(F3:F33)</f>
        <v>2985.3295999999996</v>
      </c>
      <c r="G34" s="2">
        <f>SUM(G3:G33)</f>
        <v>42501.049600000013</v>
      </c>
      <c r="H34" s="2"/>
      <c r="I34" s="3">
        <f>SUM(I3:I33)</f>
        <v>2949.4619999999995</v>
      </c>
      <c r="J34" s="17">
        <f>SUM(J3:J33)</f>
        <v>19335.362000000001</v>
      </c>
    </row>
    <row r="35" spans="1:10" x14ac:dyDescent="0.25">
      <c r="H35" t="s">
        <v>76</v>
      </c>
      <c r="J35" s="18">
        <v>2000</v>
      </c>
    </row>
    <row r="36" spans="1:10" x14ac:dyDescent="0.25">
      <c r="J36" s="19">
        <f>J34*9%</f>
        <v>1740.1825799999999</v>
      </c>
    </row>
    <row r="37" spans="1:10" x14ac:dyDescent="0.25">
      <c r="J37" s="19">
        <f>J34+J35+J36</f>
        <v>23075.544580000002</v>
      </c>
    </row>
  </sheetData>
  <mergeCells count="2">
    <mergeCell ref="A1:J1"/>
    <mergeCell ref="A34:E3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workbookViewId="0">
      <selection activeCell="M18" sqref="M18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106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101</v>
      </c>
      <c r="E3" s="6">
        <v>14310</v>
      </c>
      <c r="F3" s="6">
        <f>E3*5%</f>
        <v>715.5</v>
      </c>
      <c r="G3" s="6">
        <f>E3+F3</f>
        <v>15025.5</v>
      </c>
      <c r="H3" s="6">
        <v>7</v>
      </c>
      <c r="I3" s="7">
        <f>F3*H3</f>
        <v>5008.5</v>
      </c>
      <c r="J3" s="8">
        <f t="shared" ref="J3:J33" si="0">G3*H3</f>
        <v>105178.5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102</v>
      </c>
      <c r="E4" s="10">
        <v>20500</v>
      </c>
      <c r="F4" s="6">
        <f>E4*5%</f>
        <v>1025</v>
      </c>
      <c r="G4" s="6">
        <f>E4+F4</f>
        <v>21525</v>
      </c>
      <c r="H4" s="10">
        <v>1</v>
      </c>
      <c r="I4" s="7">
        <f t="shared" ref="I4:I33" si="1">F4*H4</f>
        <v>1025</v>
      </c>
      <c r="J4" s="8">
        <f t="shared" si="0"/>
        <v>21525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104</v>
      </c>
      <c r="E5" s="27">
        <v>1490</v>
      </c>
      <c r="F5" s="10">
        <f>E5*18%</f>
        <v>268.2</v>
      </c>
      <c r="G5" s="6">
        <f>E5+F5</f>
        <v>1758.2</v>
      </c>
      <c r="H5" s="10">
        <v>5</v>
      </c>
      <c r="I5" s="7">
        <f t="shared" si="1"/>
        <v>1341</v>
      </c>
      <c r="J5" s="8">
        <f t="shared" si="0"/>
        <v>8791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3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95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3</v>
      </c>
      <c r="I7" s="7">
        <f t="shared" si="1"/>
        <v>612.9</v>
      </c>
      <c r="J7" s="8">
        <f t="shared" si="0"/>
        <v>4017.8999999999996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44</v>
      </c>
      <c r="E8" s="27">
        <v>100</v>
      </c>
      <c r="F8" s="10">
        <f t="shared" ref="F8:F33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27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105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28</v>
      </c>
      <c r="I10" s="7">
        <f t="shared" si="1"/>
        <v>50.399999999999991</v>
      </c>
      <c r="J10" s="8">
        <f t="shared" si="0"/>
        <v>330.40000000000003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125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18</v>
      </c>
      <c r="I11" s="7">
        <f t="shared" si="1"/>
        <v>29.159999999999997</v>
      </c>
      <c r="J11" s="8">
        <f t="shared" si="0"/>
        <v>191.16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140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9</v>
      </c>
      <c r="I13" s="7">
        <f t="shared" si="1"/>
        <v>34.019999999999996</v>
      </c>
      <c r="J13" s="8">
        <f t="shared" si="0"/>
        <v>223.02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41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1</v>
      </c>
      <c r="I15" s="7">
        <f t="shared" si="1"/>
        <v>30.599999999999998</v>
      </c>
      <c r="J15" s="8">
        <f t="shared" si="0"/>
        <v>200.6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2</v>
      </c>
      <c r="I16" s="7">
        <f t="shared" si="1"/>
        <v>12.6</v>
      </c>
      <c r="J16" s="8">
        <f t="shared" si="0"/>
        <v>82.6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800</v>
      </c>
      <c r="F17" s="10">
        <f t="shared" si="3"/>
        <v>144</v>
      </c>
      <c r="G17" s="10">
        <f t="shared" si="2"/>
        <v>944</v>
      </c>
      <c r="H17" s="10">
        <v>1</v>
      </c>
      <c r="I17" s="7">
        <f t="shared" si="1"/>
        <v>144</v>
      </c>
      <c r="J17" s="12">
        <f t="shared" si="0"/>
        <v>944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800</v>
      </c>
      <c r="F18" s="10">
        <f t="shared" si="3"/>
        <v>144</v>
      </c>
      <c r="G18" s="10">
        <f t="shared" si="2"/>
        <v>944</v>
      </c>
      <c r="H18" s="10">
        <v>1</v>
      </c>
      <c r="I18" s="7">
        <f t="shared" si="1"/>
        <v>144</v>
      </c>
      <c r="J18" s="12">
        <f t="shared" si="0"/>
        <v>944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54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54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141</v>
      </c>
      <c r="E23" s="27">
        <v>50</v>
      </c>
      <c r="F23" s="10">
        <f t="shared" si="3"/>
        <v>9</v>
      </c>
      <c r="G23" s="10">
        <f t="shared" si="2"/>
        <v>59</v>
      </c>
      <c r="H23" s="10">
        <v>10</v>
      </c>
      <c r="I23" s="7">
        <f t="shared" si="1"/>
        <v>90</v>
      </c>
      <c r="J23" s="12">
        <f t="shared" si="0"/>
        <v>590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141</v>
      </c>
      <c r="E24" s="27">
        <v>50</v>
      </c>
      <c r="F24" s="10">
        <f t="shared" si="3"/>
        <v>9</v>
      </c>
      <c r="G24" s="10">
        <f t="shared" si="2"/>
        <v>59</v>
      </c>
      <c r="H24" s="10">
        <v>10</v>
      </c>
      <c r="I24" s="7">
        <f t="shared" si="1"/>
        <v>90</v>
      </c>
      <c r="J24" s="12">
        <f t="shared" si="0"/>
        <v>590</v>
      </c>
    </row>
    <row r="25" spans="1:14" x14ac:dyDescent="0.25">
      <c r="A25" s="5">
        <v>23</v>
      </c>
      <c r="B25" s="11" t="s">
        <v>57</v>
      </c>
      <c r="C25" s="10" t="s">
        <v>58</v>
      </c>
      <c r="D25" s="10" t="s">
        <v>54</v>
      </c>
      <c r="E25" s="27">
        <v>22.77</v>
      </c>
      <c r="F25" s="10">
        <f t="shared" si="3"/>
        <v>4.0985999999999994</v>
      </c>
      <c r="G25" s="10">
        <f t="shared" si="2"/>
        <v>26.868600000000001</v>
      </c>
      <c r="H25" s="10">
        <v>20</v>
      </c>
      <c r="I25" s="7">
        <f t="shared" si="1"/>
        <v>81.97199999999998</v>
      </c>
      <c r="J25" s="12">
        <f t="shared" si="0"/>
        <v>537.37200000000007</v>
      </c>
      <c r="N25" s="21"/>
    </row>
    <row r="26" spans="1:14" ht="30" x14ac:dyDescent="0.25">
      <c r="A26" s="5">
        <v>24</v>
      </c>
      <c r="B26" s="23" t="s">
        <v>59</v>
      </c>
      <c r="C26" s="10" t="s">
        <v>58</v>
      </c>
      <c r="D26" s="10" t="s">
        <v>60</v>
      </c>
      <c r="E26" s="27">
        <v>31.35</v>
      </c>
      <c r="F26" s="10">
        <f t="shared" si="3"/>
        <v>5.6429999999999998</v>
      </c>
      <c r="G26" s="10">
        <f t="shared" si="2"/>
        <v>36.993000000000002</v>
      </c>
      <c r="H26" s="10">
        <v>30</v>
      </c>
      <c r="I26" s="7">
        <f t="shared" si="1"/>
        <v>169.29</v>
      </c>
      <c r="J26" s="12">
        <f t="shared" si="0"/>
        <v>1109.79</v>
      </c>
      <c r="N26" s="20"/>
    </row>
    <row r="27" spans="1:14" x14ac:dyDescent="0.25">
      <c r="A27" s="5">
        <v>25</v>
      </c>
      <c r="B27" s="23" t="s">
        <v>61</v>
      </c>
      <c r="C27" s="10" t="s">
        <v>53</v>
      </c>
      <c r="D27" s="10" t="s">
        <v>24</v>
      </c>
      <c r="E27" s="10">
        <v>0</v>
      </c>
      <c r="F27" s="10">
        <f t="shared" si="3"/>
        <v>0</v>
      </c>
      <c r="G27" s="10">
        <f t="shared" si="2"/>
        <v>0</v>
      </c>
      <c r="H27" s="10">
        <v>1</v>
      </c>
      <c r="I27" s="7">
        <f t="shared" si="1"/>
        <v>0</v>
      </c>
      <c r="J27" s="12">
        <f t="shared" si="0"/>
        <v>0</v>
      </c>
    </row>
    <row r="28" spans="1:14" x14ac:dyDescent="0.25">
      <c r="A28" s="5">
        <v>26</v>
      </c>
      <c r="B28" s="25" t="s">
        <v>62</v>
      </c>
      <c r="C28" s="10" t="s">
        <v>63</v>
      </c>
      <c r="D28" s="10" t="s">
        <v>44</v>
      </c>
      <c r="E28" s="10">
        <v>25</v>
      </c>
      <c r="F28" s="10">
        <f t="shared" si="3"/>
        <v>4.5</v>
      </c>
      <c r="G28" s="10">
        <f t="shared" si="2"/>
        <v>29.5</v>
      </c>
      <c r="H28" s="10">
        <v>2</v>
      </c>
      <c r="I28" s="7">
        <f t="shared" si="1"/>
        <v>9</v>
      </c>
      <c r="J28" s="12">
        <f t="shared" si="0"/>
        <v>59</v>
      </c>
    </row>
    <row r="29" spans="1:14" x14ac:dyDescent="0.25">
      <c r="A29" s="5">
        <v>27</v>
      </c>
      <c r="B29" s="11" t="s">
        <v>64</v>
      </c>
      <c r="C29" s="10" t="s">
        <v>65</v>
      </c>
      <c r="D29" s="10" t="s">
        <v>66</v>
      </c>
      <c r="E29" s="10">
        <v>90</v>
      </c>
      <c r="F29" s="10">
        <f t="shared" si="3"/>
        <v>16.2</v>
      </c>
      <c r="G29" s="10">
        <f t="shared" si="2"/>
        <v>106.2</v>
      </c>
      <c r="H29" s="10">
        <v>1</v>
      </c>
      <c r="I29" s="7">
        <f t="shared" si="1"/>
        <v>16.2</v>
      </c>
      <c r="J29" s="12">
        <f t="shared" si="0"/>
        <v>106.2</v>
      </c>
    </row>
    <row r="30" spans="1:14" x14ac:dyDescent="0.25">
      <c r="A30" s="5">
        <v>28</v>
      </c>
      <c r="B30" s="11" t="s">
        <v>67</v>
      </c>
      <c r="C30" s="10" t="s">
        <v>68</v>
      </c>
      <c r="D30" s="10" t="s">
        <v>69</v>
      </c>
      <c r="E30" s="10">
        <v>37</v>
      </c>
      <c r="F30" s="10">
        <f t="shared" si="3"/>
        <v>6.66</v>
      </c>
      <c r="G30" s="10">
        <f t="shared" si="2"/>
        <v>43.66</v>
      </c>
      <c r="H30" s="10">
        <v>10</v>
      </c>
      <c r="I30" s="7">
        <f t="shared" si="1"/>
        <v>66.599999999999994</v>
      </c>
      <c r="J30" s="12">
        <f t="shared" si="0"/>
        <v>436.59999999999997</v>
      </c>
    </row>
    <row r="31" spans="1:14" x14ac:dyDescent="0.25">
      <c r="A31" s="5">
        <v>29</v>
      </c>
      <c r="B31" s="11" t="s">
        <v>70</v>
      </c>
      <c r="C31" s="10" t="s">
        <v>68</v>
      </c>
      <c r="D31" s="10" t="s">
        <v>98</v>
      </c>
      <c r="E31" s="10">
        <v>2.5</v>
      </c>
      <c r="F31" s="10">
        <f t="shared" si="3"/>
        <v>0.44999999999999996</v>
      </c>
      <c r="G31" s="10">
        <f t="shared" si="2"/>
        <v>2.95</v>
      </c>
      <c r="H31" s="10">
        <v>25</v>
      </c>
      <c r="I31" s="7">
        <f t="shared" si="1"/>
        <v>11.249999999999998</v>
      </c>
      <c r="J31" s="12">
        <f t="shared" si="0"/>
        <v>73.75</v>
      </c>
    </row>
    <row r="32" spans="1:14" x14ac:dyDescent="0.25">
      <c r="A32" s="5">
        <v>30</v>
      </c>
      <c r="B32" s="11" t="s">
        <v>72</v>
      </c>
      <c r="C32" s="10" t="s">
        <v>68</v>
      </c>
      <c r="D32" s="10" t="s">
        <v>73</v>
      </c>
      <c r="E32" s="10">
        <v>3.1</v>
      </c>
      <c r="F32" s="10">
        <f t="shared" si="3"/>
        <v>0.55799999999999994</v>
      </c>
      <c r="G32" s="10">
        <f t="shared" si="2"/>
        <v>3.6579999999999999</v>
      </c>
      <c r="H32" s="10">
        <v>5</v>
      </c>
      <c r="I32" s="7">
        <f t="shared" si="1"/>
        <v>2.7899999999999996</v>
      </c>
      <c r="J32" s="12">
        <f t="shared" si="0"/>
        <v>18.29</v>
      </c>
    </row>
    <row r="33" spans="1:10" ht="15.75" thickBot="1" x14ac:dyDescent="0.3">
      <c r="A33" s="5">
        <v>31</v>
      </c>
      <c r="B33" s="22" t="s">
        <v>74</v>
      </c>
      <c r="C33" s="14" t="s">
        <v>68</v>
      </c>
      <c r="D33" s="14" t="s">
        <v>99</v>
      </c>
      <c r="E33" s="14">
        <v>140</v>
      </c>
      <c r="F33" s="14">
        <f t="shared" si="3"/>
        <v>25.2</v>
      </c>
      <c r="G33" s="14">
        <f t="shared" si="2"/>
        <v>165.2</v>
      </c>
      <c r="H33" s="14">
        <v>0.5</v>
      </c>
      <c r="I33" s="15">
        <f t="shared" si="1"/>
        <v>12.6</v>
      </c>
      <c r="J33" s="16">
        <f t="shared" si="0"/>
        <v>82.6</v>
      </c>
    </row>
    <row r="34" spans="1:10" ht="15.75" thickBot="1" x14ac:dyDescent="0.3">
      <c r="A34" s="31" t="s">
        <v>75</v>
      </c>
      <c r="B34" s="32"/>
      <c r="C34" s="32"/>
      <c r="D34" s="32"/>
      <c r="E34" s="33"/>
      <c r="F34" s="2">
        <f>SUM(F3:F33)</f>
        <v>3138.3295999999996</v>
      </c>
      <c r="G34" s="2">
        <f>SUM(G3:G33)</f>
        <v>45714.049600000013</v>
      </c>
      <c r="H34" s="2"/>
      <c r="I34" s="3">
        <f>SUM(I3:I33)</f>
        <v>9547.6220000000012</v>
      </c>
      <c r="J34" s="17">
        <f>SUM(J3:J33)</f>
        <v>149740.52200000003</v>
      </c>
    </row>
    <row r="35" spans="1:10" x14ac:dyDescent="0.25">
      <c r="H35" t="s">
        <v>76</v>
      </c>
      <c r="J35" s="18">
        <v>2000</v>
      </c>
    </row>
    <row r="36" spans="1:10" x14ac:dyDescent="0.25">
      <c r="J36" s="19">
        <f>J34*9%</f>
        <v>13476.646980000001</v>
      </c>
    </row>
    <row r="37" spans="1:10" x14ac:dyDescent="0.25">
      <c r="J37" s="19">
        <f>J34+J35+J36</f>
        <v>165217.16898000002</v>
      </c>
    </row>
  </sheetData>
  <mergeCells count="2">
    <mergeCell ref="A1:J1"/>
    <mergeCell ref="A34:E3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opLeftCell="A10" workbookViewId="0">
      <selection activeCell="E4" sqref="E4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107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108</v>
      </c>
      <c r="E3" s="6">
        <v>14310</v>
      </c>
      <c r="F3" s="6">
        <f>E3*5%</f>
        <v>715.5</v>
      </c>
      <c r="G3" s="6">
        <f>E3+F3</f>
        <v>15025.5</v>
      </c>
      <c r="H3" s="6">
        <v>8</v>
      </c>
      <c r="I3" s="7">
        <f>F3*H3</f>
        <v>5724</v>
      </c>
      <c r="J3" s="8">
        <f t="shared" ref="J3:J33" si="0">G3*H3</f>
        <v>120204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138</v>
      </c>
      <c r="E4" s="10">
        <v>21500</v>
      </c>
      <c r="F4" s="6">
        <f>E4*5%</f>
        <v>1075</v>
      </c>
      <c r="G4" s="6">
        <f>E4+F4</f>
        <v>22575</v>
      </c>
      <c r="H4" s="10">
        <v>1</v>
      </c>
      <c r="I4" s="7">
        <f t="shared" ref="I4:I33" si="1">F4*H4</f>
        <v>1075</v>
      </c>
      <c r="J4" s="8">
        <f t="shared" si="0"/>
        <v>22575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104</v>
      </c>
      <c r="E5" s="27">
        <v>1490</v>
      </c>
      <c r="F5" s="10">
        <f>E5*18%</f>
        <v>268.2</v>
      </c>
      <c r="G5" s="6">
        <f>E5+F5</f>
        <v>1758.2</v>
      </c>
      <c r="H5" s="10">
        <v>5</v>
      </c>
      <c r="I5" s="7">
        <f t="shared" si="1"/>
        <v>1341</v>
      </c>
      <c r="J5" s="8">
        <f t="shared" si="0"/>
        <v>8791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3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95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3</v>
      </c>
      <c r="I7" s="7">
        <f t="shared" si="1"/>
        <v>612.9</v>
      </c>
      <c r="J7" s="8">
        <f t="shared" si="0"/>
        <v>4017.8999999999996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44</v>
      </c>
      <c r="E8" s="27">
        <v>100</v>
      </c>
      <c r="F8" s="10">
        <f t="shared" ref="F8:F33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27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139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32</v>
      </c>
      <c r="I10" s="7">
        <f t="shared" si="1"/>
        <v>57.599999999999994</v>
      </c>
      <c r="J10" s="8">
        <f t="shared" si="0"/>
        <v>377.6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125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18</v>
      </c>
      <c r="I11" s="7">
        <f t="shared" si="1"/>
        <v>29.159999999999997</v>
      </c>
      <c r="J11" s="8">
        <f t="shared" si="0"/>
        <v>191.16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140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9</v>
      </c>
      <c r="I13" s="7">
        <f t="shared" si="1"/>
        <v>34.019999999999996</v>
      </c>
      <c r="J13" s="8">
        <f t="shared" si="0"/>
        <v>223.02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130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1</v>
      </c>
      <c r="I15" s="7">
        <f t="shared" si="1"/>
        <v>30.599999999999998</v>
      </c>
      <c r="J15" s="8">
        <f t="shared" si="0"/>
        <v>200.6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2</v>
      </c>
      <c r="I16" s="7">
        <f t="shared" si="1"/>
        <v>12.6</v>
      </c>
      <c r="J16" s="8">
        <f t="shared" si="0"/>
        <v>82.6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800</v>
      </c>
      <c r="F17" s="10">
        <f t="shared" si="3"/>
        <v>144</v>
      </c>
      <c r="G17" s="10">
        <f t="shared" si="2"/>
        <v>944</v>
      </c>
      <c r="H17" s="10">
        <v>1</v>
      </c>
      <c r="I17" s="7">
        <f t="shared" si="1"/>
        <v>144</v>
      </c>
      <c r="J17" s="12">
        <f t="shared" si="0"/>
        <v>944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800</v>
      </c>
      <c r="F18" s="10">
        <f t="shared" si="3"/>
        <v>144</v>
      </c>
      <c r="G18" s="10">
        <f t="shared" si="2"/>
        <v>944</v>
      </c>
      <c r="H18" s="10">
        <v>1</v>
      </c>
      <c r="I18" s="7">
        <f t="shared" si="1"/>
        <v>144</v>
      </c>
      <c r="J18" s="12">
        <f t="shared" si="0"/>
        <v>944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54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54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141</v>
      </c>
      <c r="E23" s="27">
        <v>50</v>
      </c>
      <c r="F23" s="10">
        <f t="shared" si="3"/>
        <v>9</v>
      </c>
      <c r="G23" s="10">
        <f t="shared" si="2"/>
        <v>59</v>
      </c>
      <c r="H23" s="10">
        <v>10</v>
      </c>
      <c r="I23" s="7">
        <f t="shared" si="1"/>
        <v>90</v>
      </c>
      <c r="J23" s="12">
        <f t="shared" si="0"/>
        <v>590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141</v>
      </c>
      <c r="E24" s="27">
        <v>50</v>
      </c>
      <c r="F24" s="10">
        <f t="shared" si="3"/>
        <v>9</v>
      </c>
      <c r="G24" s="10">
        <f t="shared" si="2"/>
        <v>59</v>
      </c>
      <c r="H24" s="10">
        <v>10</v>
      </c>
      <c r="I24" s="7">
        <f t="shared" si="1"/>
        <v>90</v>
      </c>
      <c r="J24" s="12">
        <f t="shared" si="0"/>
        <v>590</v>
      </c>
    </row>
    <row r="25" spans="1:14" x14ac:dyDescent="0.25">
      <c r="A25" s="5">
        <v>23</v>
      </c>
      <c r="B25" s="11" t="s">
        <v>57</v>
      </c>
      <c r="C25" s="10" t="s">
        <v>58</v>
      </c>
      <c r="D25" s="10" t="s">
        <v>54</v>
      </c>
      <c r="E25" s="27">
        <v>22.77</v>
      </c>
      <c r="F25" s="10">
        <f t="shared" si="3"/>
        <v>4.0985999999999994</v>
      </c>
      <c r="G25" s="10">
        <f t="shared" si="2"/>
        <v>26.868600000000001</v>
      </c>
      <c r="H25" s="10">
        <v>20</v>
      </c>
      <c r="I25" s="7">
        <f t="shared" si="1"/>
        <v>81.97199999999998</v>
      </c>
      <c r="J25" s="12">
        <f t="shared" si="0"/>
        <v>537.37200000000007</v>
      </c>
      <c r="N25" s="21"/>
    </row>
    <row r="26" spans="1:14" ht="30" x14ac:dyDescent="0.25">
      <c r="A26" s="5">
        <v>24</v>
      </c>
      <c r="B26" s="23" t="s">
        <v>59</v>
      </c>
      <c r="C26" s="10" t="s">
        <v>58</v>
      </c>
      <c r="D26" s="10" t="s">
        <v>60</v>
      </c>
      <c r="E26" s="27">
        <v>31.35</v>
      </c>
      <c r="F26" s="10">
        <f t="shared" si="3"/>
        <v>5.6429999999999998</v>
      </c>
      <c r="G26" s="10">
        <f t="shared" si="2"/>
        <v>36.993000000000002</v>
      </c>
      <c r="H26" s="10">
        <v>30</v>
      </c>
      <c r="I26" s="7">
        <f t="shared" si="1"/>
        <v>169.29</v>
      </c>
      <c r="J26" s="12">
        <f t="shared" si="0"/>
        <v>1109.79</v>
      </c>
      <c r="N26" s="20"/>
    </row>
    <row r="27" spans="1:14" x14ac:dyDescent="0.25">
      <c r="A27" s="5">
        <v>25</v>
      </c>
      <c r="B27" s="23" t="s">
        <v>61</v>
      </c>
      <c r="C27" s="10" t="s">
        <v>53</v>
      </c>
      <c r="D27" s="10" t="s">
        <v>24</v>
      </c>
      <c r="E27" s="10">
        <v>0</v>
      </c>
      <c r="F27" s="10">
        <f t="shared" si="3"/>
        <v>0</v>
      </c>
      <c r="G27" s="10">
        <f t="shared" si="2"/>
        <v>0</v>
      </c>
      <c r="H27" s="10">
        <v>1</v>
      </c>
      <c r="I27" s="7">
        <f t="shared" si="1"/>
        <v>0</v>
      </c>
      <c r="J27" s="12">
        <f t="shared" si="0"/>
        <v>0</v>
      </c>
    </row>
    <row r="28" spans="1:14" x14ac:dyDescent="0.25">
      <c r="A28" s="5">
        <v>26</v>
      </c>
      <c r="B28" s="25" t="s">
        <v>62</v>
      </c>
      <c r="C28" s="10" t="s">
        <v>63</v>
      </c>
      <c r="D28" s="10" t="s">
        <v>44</v>
      </c>
      <c r="E28" s="10">
        <v>25</v>
      </c>
      <c r="F28" s="10">
        <f t="shared" si="3"/>
        <v>4.5</v>
      </c>
      <c r="G28" s="10">
        <f t="shared" si="2"/>
        <v>29.5</v>
      </c>
      <c r="H28" s="10">
        <v>2</v>
      </c>
      <c r="I28" s="7">
        <f t="shared" si="1"/>
        <v>9</v>
      </c>
      <c r="J28" s="12">
        <f t="shared" si="0"/>
        <v>59</v>
      </c>
    </row>
    <row r="29" spans="1:14" x14ac:dyDescent="0.25">
      <c r="A29" s="5">
        <v>27</v>
      </c>
      <c r="B29" s="11" t="s">
        <v>64</v>
      </c>
      <c r="C29" s="10" t="s">
        <v>65</v>
      </c>
      <c r="D29" s="10" t="s">
        <v>66</v>
      </c>
      <c r="E29" s="10">
        <v>90</v>
      </c>
      <c r="F29" s="10">
        <f t="shared" si="3"/>
        <v>16.2</v>
      </c>
      <c r="G29" s="10">
        <f t="shared" si="2"/>
        <v>106.2</v>
      </c>
      <c r="H29" s="10">
        <v>1</v>
      </c>
      <c r="I29" s="7">
        <f t="shared" si="1"/>
        <v>16.2</v>
      </c>
      <c r="J29" s="12">
        <f t="shared" si="0"/>
        <v>106.2</v>
      </c>
    </row>
    <row r="30" spans="1:14" x14ac:dyDescent="0.25">
      <c r="A30" s="5">
        <v>28</v>
      </c>
      <c r="B30" s="11" t="s">
        <v>67</v>
      </c>
      <c r="C30" s="10" t="s">
        <v>68</v>
      </c>
      <c r="D30" s="10" t="s">
        <v>69</v>
      </c>
      <c r="E30" s="10">
        <v>37</v>
      </c>
      <c r="F30" s="10">
        <f t="shared" si="3"/>
        <v>6.66</v>
      </c>
      <c r="G30" s="10">
        <f t="shared" si="2"/>
        <v>43.66</v>
      </c>
      <c r="H30" s="10">
        <v>10</v>
      </c>
      <c r="I30" s="7">
        <f t="shared" si="1"/>
        <v>66.599999999999994</v>
      </c>
      <c r="J30" s="12">
        <f t="shared" si="0"/>
        <v>436.59999999999997</v>
      </c>
    </row>
    <row r="31" spans="1:14" x14ac:dyDescent="0.25">
      <c r="A31" s="5">
        <v>29</v>
      </c>
      <c r="B31" s="11" t="s">
        <v>70</v>
      </c>
      <c r="C31" s="10" t="s">
        <v>68</v>
      </c>
      <c r="D31" s="10" t="s">
        <v>98</v>
      </c>
      <c r="E31" s="10">
        <v>2.5</v>
      </c>
      <c r="F31" s="10">
        <f t="shared" si="3"/>
        <v>0.44999999999999996</v>
      </c>
      <c r="G31" s="10">
        <f t="shared" si="2"/>
        <v>2.95</v>
      </c>
      <c r="H31" s="10">
        <v>25</v>
      </c>
      <c r="I31" s="7">
        <f t="shared" si="1"/>
        <v>11.249999999999998</v>
      </c>
      <c r="J31" s="12">
        <f t="shared" si="0"/>
        <v>73.75</v>
      </c>
    </row>
    <row r="32" spans="1:14" x14ac:dyDescent="0.25">
      <c r="A32" s="5">
        <v>30</v>
      </c>
      <c r="B32" s="11" t="s">
        <v>72</v>
      </c>
      <c r="C32" s="10" t="s">
        <v>68</v>
      </c>
      <c r="D32" s="10" t="s">
        <v>73</v>
      </c>
      <c r="E32" s="10">
        <v>3.1</v>
      </c>
      <c r="F32" s="10">
        <f t="shared" si="3"/>
        <v>0.55799999999999994</v>
      </c>
      <c r="G32" s="10">
        <f t="shared" si="2"/>
        <v>3.6579999999999999</v>
      </c>
      <c r="H32" s="10">
        <v>5</v>
      </c>
      <c r="I32" s="7">
        <f t="shared" si="1"/>
        <v>2.7899999999999996</v>
      </c>
      <c r="J32" s="12">
        <f t="shared" si="0"/>
        <v>18.29</v>
      </c>
    </row>
    <row r="33" spans="1:10" ht="15.75" thickBot="1" x14ac:dyDescent="0.3">
      <c r="A33" s="5">
        <v>31</v>
      </c>
      <c r="B33" s="22" t="s">
        <v>74</v>
      </c>
      <c r="C33" s="14" t="s">
        <v>68</v>
      </c>
      <c r="D33" s="14" t="s">
        <v>99</v>
      </c>
      <c r="E33" s="14">
        <v>140</v>
      </c>
      <c r="F33" s="14">
        <f t="shared" si="3"/>
        <v>25.2</v>
      </c>
      <c r="G33" s="14">
        <f t="shared" si="2"/>
        <v>165.2</v>
      </c>
      <c r="H33" s="14">
        <v>0.5</v>
      </c>
      <c r="I33" s="15">
        <f t="shared" si="1"/>
        <v>12.6</v>
      </c>
      <c r="J33" s="16">
        <f t="shared" si="0"/>
        <v>82.6</v>
      </c>
    </row>
    <row r="34" spans="1:10" ht="15.75" thickBot="1" x14ac:dyDescent="0.3">
      <c r="A34" s="31" t="s">
        <v>75</v>
      </c>
      <c r="B34" s="32"/>
      <c r="C34" s="32"/>
      <c r="D34" s="32"/>
      <c r="E34" s="33"/>
      <c r="F34" s="2">
        <f>SUM(F3:F33)</f>
        <v>3188.3295999999991</v>
      </c>
      <c r="G34" s="2">
        <f>SUM(G3:G33)</f>
        <v>46764.049600000013</v>
      </c>
      <c r="H34" s="2"/>
      <c r="I34" s="3">
        <f>SUM(I3:I33)</f>
        <v>10320.322000000002</v>
      </c>
      <c r="J34" s="17">
        <f>SUM(J3:J33)</f>
        <v>165863.22200000004</v>
      </c>
    </row>
    <row r="35" spans="1:10" x14ac:dyDescent="0.25">
      <c r="H35" t="s">
        <v>76</v>
      </c>
      <c r="J35" s="18">
        <v>2000</v>
      </c>
    </row>
    <row r="36" spans="1:10" x14ac:dyDescent="0.25">
      <c r="J36" s="19">
        <f>J34*9%</f>
        <v>14927.689980000003</v>
      </c>
    </row>
    <row r="37" spans="1:10" x14ac:dyDescent="0.25">
      <c r="J37" s="19">
        <f>J34+J35+J36</f>
        <v>182790.91198000003</v>
      </c>
    </row>
  </sheetData>
  <mergeCells count="2">
    <mergeCell ref="A1:J1"/>
    <mergeCell ref="A34:E3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opLeftCell="A4" workbookViewId="0">
      <selection activeCell="E4" sqref="E4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109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110</v>
      </c>
      <c r="E3" s="6">
        <v>14310</v>
      </c>
      <c r="F3" s="6">
        <f>E3*5%</f>
        <v>715.5</v>
      </c>
      <c r="G3" s="6">
        <f>E3+F3</f>
        <v>15025.5</v>
      </c>
      <c r="H3" s="6">
        <v>9</v>
      </c>
      <c r="I3" s="7">
        <f>F3*H3</f>
        <v>6439.5</v>
      </c>
      <c r="J3" s="8">
        <f t="shared" ref="J3:J33" si="0">G3*H3</f>
        <v>135229.5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136</v>
      </c>
      <c r="E4" s="10">
        <v>26000</v>
      </c>
      <c r="F4" s="6">
        <f>E4*5%</f>
        <v>1300</v>
      </c>
      <c r="G4" s="6">
        <f>E4+F4</f>
        <v>27300</v>
      </c>
      <c r="H4" s="10">
        <v>1</v>
      </c>
      <c r="I4" s="7">
        <f t="shared" ref="I4:I33" si="1">F4*H4</f>
        <v>1300</v>
      </c>
      <c r="J4" s="8">
        <f t="shared" si="0"/>
        <v>27300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123</v>
      </c>
      <c r="E5" s="27">
        <v>1490</v>
      </c>
      <c r="F5" s="10">
        <f>E5*18%</f>
        <v>268.2</v>
      </c>
      <c r="G5" s="6">
        <f>E5+F5</f>
        <v>1758.2</v>
      </c>
      <c r="H5" s="10">
        <v>6</v>
      </c>
      <c r="I5" s="7">
        <f t="shared" si="1"/>
        <v>1609.1999999999998</v>
      </c>
      <c r="J5" s="8">
        <f t="shared" si="0"/>
        <v>10549.2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3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36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4</v>
      </c>
      <c r="I7" s="7">
        <f t="shared" si="1"/>
        <v>817.19999999999993</v>
      </c>
      <c r="J7" s="8">
        <f t="shared" si="0"/>
        <v>5357.2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44</v>
      </c>
      <c r="E8" s="27">
        <v>100</v>
      </c>
      <c r="F8" s="10">
        <f t="shared" ref="F8:F33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27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137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36</v>
      </c>
      <c r="I10" s="7">
        <f t="shared" si="1"/>
        <v>64.8</v>
      </c>
      <c r="J10" s="8">
        <f t="shared" si="0"/>
        <v>424.8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100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24</v>
      </c>
      <c r="I11" s="7">
        <f t="shared" si="1"/>
        <v>38.879999999999995</v>
      </c>
      <c r="J11" s="8">
        <f t="shared" si="0"/>
        <v>254.88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96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12</v>
      </c>
      <c r="I13" s="7">
        <f t="shared" si="1"/>
        <v>45.36</v>
      </c>
      <c r="J13" s="8">
        <f t="shared" si="0"/>
        <v>297.36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130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2</v>
      </c>
      <c r="I15" s="7">
        <f t="shared" si="1"/>
        <v>61.199999999999996</v>
      </c>
      <c r="J15" s="8">
        <f t="shared" si="0"/>
        <v>401.2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4</v>
      </c>
      <c r="I16" s="7">
        <f t="shared" si="1"/>
        <v>25.2</v>
      </c>
      <c r="J16" s="8">
        <f t="shared" si="0"/>
        <v>165.2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800</v>
      </c>
      <c r="F17" s="10">
        <f t="shared" si="3"/>
        <v>144</v>
      </c>
      <c r="G17" s="10">
        <f t="shared" si="2"/>
        <v>944</v>
      </c>
      <c r="H17" s="10">
        <v>1</v>
      </c>
      <c r="I17" s="7">
        <f t="shared" si="1"/>
        <v>144</v>
      </c>
      <c r="J17" s="12">
        <f t="shared" si="0"/>
        <v>944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800</v>
      </c>
      <c r="F18" s="10">
        <f t="shared" si="3"/>
        <v>144</v>
      </c>
      <c r="G18" s="10">
        <f t="shared" si="2"/>
        <v>944</v>
      </c>
      <c r="H18" s="10">
        <v>1</v>
      </c>
      <c r="I18" s="7">
        <f t="shared" si="1"/>
        <v>144</v>
      </c>
      <c r="J18" s="12">
        <f t="shared" si="0"/>
        <v>944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54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54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141</v>
      </c>
      <c r="E23" s="27">
        <v>50</v>
      </c>
      <c r="F23" s="10">
        <f t="shared" si="3"/>
        <v>9</v>
      </c>
      <c r="G23" s="10">
        <f t="shared" si="2"/>
        <v>59</v>
      </c>
      <c r="H23" s="10">
        <v>10</v>
      </c>
      <c r="I23" s="7">
        <f t="shared" si="1"/>
        <v>90</v>
      </c>
      <c r="J23" s="12">
        <f t="shared" si="0"/>
        <v>590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141</v>
      </c>
      <c r="E24" s="27">
        <v>50</v>
      </c>
      <c r="F24" s="10">
        <f t="shared" si="3"/>
        <v>9</v>
      </c>
      <c r="G24" s="10">
        <f t="shared" si="2"/>
        <v>59</v>
      </c>
      <c r="H24" s="10">
        <v>10</v>
      </c>
      <c r="I24" s="7">
        <f t="shared" si="1"/>
        <v>90</v>
      </c>
      <c r="J24" s="12">
        <f t="shared" si="0"/>
        <v>590</v>
      </c>
    </row>
    <row r="25" spans="1:14" x14ac:dyDescent="0.25">
      <c r="A25" s="5">
        <v>23</v>
      </c>
      <c r="B25" s="11" t="s">
        <v>57</v>
      </c>
      <c r="C25" s="10" t="s">
        <v>58</v>
      </c>
      <c r="D25" s="10" t="s">
        <v>54</v>
      </c>
      <c r="E25" s="27">
        <v>22.77</v>
      </c>
      <c r="F25" s="10">
        <f t="shared" si="3"/>
        <v>4.0985999999999994</v>
      </c>
      <c r="G25" s="10">
        <f t="shared" si="2"/>
        <v>26.868600000000001</v>
      </c>
      <c r="H25" s="10">
        <v>20</v>
      </c>
      <c r="I25" s="7">
        <f t="shared" si="1"/>
        <v>81.97199999999998</v>
      </c>
      <c r="J25" s="12">
        <f t="shared" si="0"/>
        <v>537.37200000000007</v>
      </c>
      <c r="N25" s="21"/>
    </row>
    <row r="26" spans="1:14" ht="30" x14ac:dyDescent="0.25">
      <c r="A26" s="5">
        <v>24</v>
      </c>
      <c r="B26" s="23" t="s">
        <v>59</v>
      </c>
      <c r="C26" s="10" t="s">
        <v>58</v>
      </c>
      <c r="D26" s="10" t="s">
        <v>60</v>
      </c>
      <c r="E26" s="27">
        <v>31.35</v>
      </c>
      <c r="F26" s="10">
        <f t="shared" si="3"/>
        <v>5.6429999999999998</v>
      </c>
      <c r="G26" s="10">
        <f t="shared" si="2"/>
        <v>36.993000000000002</v>
      </c>
      <c r="H26" s="10">
        <v>30</v>
      </c>
      <c r="I26" s="7">
        <f t="shared" si="1"/>
        <v>169.29</v>
      </c>
      <c r="J26" s="12">
        <f t="shared" si="0"/>
        <v>1109.79</v>
      </c>
      <c r="N26" s="20"/>
    </row>
    <row r="27" spans="1:14" x14ac:dyDescent="0.25">
      <c r="A27" s="5">
        <v>25</v>
      </c>
      <c r="B27" s="23" t="s">
        <v>61</v>
      </c>
      <c r="C27" s="10" t="s">
        <v>53</v>
      </c>
      <c r="D27" s="10" t="s">
        <v>24</v>
      </c>
      <c r="E27" s="10">
        <v>0</v>
      </c>
      <c r="F27" s="10">
        <f t="shared" si="3"/>
        <v>0</v>
      </c>
      <c r="G27" s="10">
        <f t="shared" si="2"/>
        <v>0</v>
      </c>
      <c r="H27" s="10">
        <v>1</v>
      </c>
      <c r="I27" s="7">
        <f t="shared" si="1"/>
        <v>0</v>
      </c>
      <c r="J27" s="12">
        <f t="shared" si="0"/>
        <v>0</v>
      </c>
    </row>
    <row r="28" spans="1:14" x14ac:dyDescent="0.25">
      <c r="A28" s="5">
        <v>26</v>
      </c>
      <c r="B28" s="25" t="s">
        <v>62</v>
      </c>
      <c r="C28" s="10" t="s">
        <v>63</v>
      </c>
      <c r="D28" s="10" t="s">
        <v>44</v>
      </c>
      <c r="E28" s="10">
        <v>25</v>
      </c>
      <c r="F28" s="10">
        <f t="shared" si="3"/>
        <v>4.5</v>
      </c>
      <c r="G28" s="10">
        <f t="shared" si="2"/>
        <v>29.5</v>
      </c>
      <c r="H28" s="10">
        <v>2</v>
      </c>
      <c r="I28" s="7">
        <f t="shared" si="1"/>
        <v>9</v>
      </c>
      <c r="J28" s="12">
        <f t="shared" si="0"/>
        <v>59</v>
      </c>
    </row>
    <row r="29" spans="1:14" x14ac:dyDescent="0.25">
      <c r="A29" s="5">
        <v>27</v>
      </c>
      <c r="B29" s="11" t="s">
        <v>64</v>
      </c>
      <c r="C29" s="10" t="s">
        <v>65</v>
      </c>
      <c r="D29" s="10" t="s">
        <v>66</v>
      </c>
      <c r="E29" s="10">
        <v>90</v>
      </c>
      <c r="F29" s="10">
        <f t="shared" si="3"/>
        <v>16.2</v>
      </c>
      <c r="G29" s="10">
        <f t="shared" si="2"/>
        <v>106.2</v>
      </c>
      <c r="H29" s="10">
        <v>1</v>
      </c>
      <c r="I29" s="7">
        <f t="shared" si="1"/>
        <v>16.2</v>
      </c>
      <c r="J29" s="12">
        <f t="shared" si="0"/>
        <v>106.2</v>
      </c>
    </row>
    <row r="30" spans="1:14" x14ac:dyDescent="0.25">
      <c r="A30" s="5">
        <v>28</v>
      </c>
      <c r="B30" s="11" t="s">
        <v>67</v>
      </c>
      <c r="C30" s="10" t="s">
        <v>68</v>
      </c>
      <c r="D30" s="10" t="s">
        <v>69</v>
      </c>
      <c r="E30" s="10">
        <v>37</v>
      </c>
      <c r="F30" s="10">
        <f t="shared" si="3"/>
        <v>6.66</v>
      </c>
      <c r="G30" s="10">
        <f t="shared" si="2"/>
        <v>43.66</v>
      </c>
      <c r="H30" s="10">
        <v>10</v>
      </c>
      <c r="I30" s="7">
        <f t="shared" si="1"/>
        <v>66.599999999999994</v>
      </c>
      <c r="J30" s="12">
        <f t="shared" si="0"/>
        <v>436.59999999999997</v>
      </c>
    </row>
    <row r="31" spans="1:14" x14ac:dyDescent="0.25">
      <c r="A31" s="5">
        <v>29</v>
      </c>
      <c r="B31" s="11" t="s">
        <v>70</v>
      </c>
      <c r="C31" s="10" t="s">
        <v>68</v>
      </c>
      <c r="D31" s="10" t="s">
        <v>98</v>
      </c>
      <c r="E31" s="10">
        <v>2.5</v>
      </c>
      <c r="F31" s="10">
        <f t="shared" si="3"/>
        <v>0.44999999999999996</v>
      </c>
      <c r="G31" s="10">
        <f t="shared" si="2"/>
        <v>2.95</v>
      </c>
      <c r="H31" s="10">
        <v>25</v>
      </c>
      <c r="I31" s="7">
        <f t="shared" si="1"/>
        <v>11.249999999999998</v>
      </c>
      <c r="J31" s="12">
        <f t="shared" si="0"/>
        <v>73.75</v>
      </c>
    </row>
    <row r="32" spans="1:14" x14ac:dyDescent="0.25">
      <c r="A32" s="5">
        <v>30</v>
      </c>
      <c r="B32" s="11" t="s">
        <v>72</v>
      </c>
      <c r="C32" s="10" t="s">
        <v>68</v>
      </c>
      <c r="D32" s="10" t="s">
        <v>73</v>
      </c>
      <c r="E32" s="10">
        <v>3.1</v>
      </c>
      <c r="F32" s="10">
        <f t="shared" si="3"/>
        <v>0.55799999999999994</v>
      </c>
      <c r="G32" s="10">
        <f t="shared" si="2"/>
        <v>3.6579999999999999</v>
      </c>
      <c r="H32" s="10">
        <v>5</v>
      </c>
      <c r="I32" s="7">
        <f t="shared" si="1"/>
        <v>2.7899999999999996</v>
      </c>
      <c r="J32" s="12">
        <f t="shared" si="0"/>
        <v>18.29</v>
      </c>
    </row>
    <row r="33" spans="1:10" ht="15.75" thickBot="1" x14ac:dyDescent="0.3">
      <c r="A33" s="5">
        <v>31</v>
      </c>
      <c r="B33" s="22" t="s">
        <v>74</v>
      </c>
      <c r="C33" s="14" t="s">
        <v>68</v>
      </c>
      <c r="D33" s="14" t="s">
        <v>99</v>
      </c>
      <c r="E33" s="14">
        <v>140</v>
      </c>
      <c r="F33" s="14">
        <f t="shared" si="3"/>
        <v>25.2</v>
      </c>
      <c r="G33" s="14">
        <f t="shared" si="2"/>
        <v>165.2</v>
      </c>
      <c r="H33" s="14">
        <v>0.5</v>
      </c>
      <c r="I33" s="15">
        <f t="shared" si="1"/>
        <v>12.6</v>
      </c>
      <c r="J33" s="16">
        <f t="shared" si="0"/>
        <v>82.6</v>
      </c>
    </row>
    <row r="34" spans="1:10" ht="15.75" thickBot="1" x14ac:dyDescent="0.3">
      <c r="A34" s="31" t="s">
        <v>75</v>
      </c>
      <c r="B34" s="32"/>
      <c r="C34" s="32"/>
      <c r="D34" s="32"/>
      <c r="E34" s="33"/>
      <c r="F34" s="2">
        <f>SUM(F3:F33)</f>
        <v>3413.3295999999991</v>
      </c>
      <c r="G34" s="2">
        <f>SUM(G3:G33)</f>
        <v>51489.049600000013</v>
      </c>
      <c r="H34" s="2"/>
      <c r="I34" s="3">
        <f>SUM(I3:I33)</f>
        <v>11804.782000000003</v>
      </c>
      <c r="J34" s="17">
        <f>SUM(J3:J33)</f>
        <v>189179.68200000006</v>
      </c>
    </row>
    <row r="35" spans="1:10" x14ac:dyDescent="0.25">
      <c r="H35" t="s">
        <v>76</v>
      </c>
      <c r="J35" s="18">
        <v>2000</v>
      </c>
    </row>
    <row r="36" spans="1:10" x14ac:dyDescent="0.25">
      <c r="J36" s="19">
        <f>J34*9%</f>
        <v>17026.171380000003</v>
      </c>
    </row>
    <row r="37" spans="1:10" x14ac:dyDescent="0.25">
      <c r="J37" s="19">
        <f>J34+J35+J36</f>
        <v>208205.85338000007</v>
      </c>
    </row>
  </sheetData>
  <mergeCells count="2">
    <mergeCell ref="A1:J1"/>
    <mergeCell ref="A34:E3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7" workbookViewId="0">
      <selection activeCell="E4" sqref="E4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112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111</v>
      </c>
      <c r="E3" s="6">
        <v>14310</v>
      </c>
      <c r="F3" s="6">
        <f>E3*5%</f>
        <v>715.5</v>
      </c>
      <c r="G3" s="6">
        <f>E3+F3</f>
        <v>15025.5</v>
      </c>
      <c r="H3" s="6">
        <v>10</v>
      </c>
      <c r="I3" s="7">
        <f>F3*H3</f>
        <v>7155</v>
      </c>
      <c r="J3" s="8">
        <f t="shared" ref="J3:J35" si="0">G3*H3</f>
        <v>150255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134</v>
      </c>
      <c r="E4" s="10">
        <v>29000</v>
      </c>
      <c r="F4" s="6">
        <f>E4*5%</f>
        <v>1450</v>
      </c>
      <c r="G4" s="6">
        <f>E4+F4</f>
        <v>30450</v>
      </c>
      <c r="H4" s="10">
        <v>1</v>
      </c>
      <c r="I4" s="7">
        <f t="shared" ref="I4:I35" si="1">F4*H4</f>
        <v>1450</v>
      </c>
      <c r="J4" s="8">
        <f t="shared" si="0"/>
        <v>30450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123</v>
      </c>
      <c r="E5" s="27">
        <v>1490</v>
      </c>
      <c r="F5" s="10">
        <f>E5*18%</f>
        <v>268.2</v>
      </c>
      <c r="G5" s="6">
        <f>E5+F5</f>
        <v>1758.2</v>
      </c>
      <c r="H5" s="10">
        <v>6</v>
      </c>
      <c r="I5" s="7">
        <f t="shared" si="1"/>
        <v>1609.1999999999998</v>
      </c>
      <c r="J5" s="8">
        <f t="shared" si="0"/>
        <v>10549.2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5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36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4</v>
      </c>
      <c r="I7" s="7">
        <f t="shared" si="1"/>
        <v>817.19999999999993</v>
      </c>
      <c r="J7" s="8">
        <f t="shared" si="0"/>
        <v>5357.2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44</v>
      </c>
      <c r="E8" s="27">
        <v>100</v>
      </c>
      <c r="F8" s="10">
        <f t="shared" ref="F8:F35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27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135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40</v>
      </c>
      <c r="I10" s="7">
        <f t="shared" si="1"/>
        <v>72</v>
      </c>
      <c r="J10" s="8">
        <f t="shared" si="0"/>
        <v>472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30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24</v>
      </c>
      <c r="I11" s="7">
        <f t="shared" si="1"/>
        <v>38.879999999999995</v>
      </c>
      <c r="J11" s="8">
        <f t="shared" si="0"/>
        <v>254.88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96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12</v>
      </c>
      <c r="I13" s="7">
        <f t="shared" si="1"/>
        <v>45.36</v>
      </c>
      <c r="J13" s="8">
        <f t="shared" si="0"/>
        <v>297.36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41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2</v>
      </c>
      <c r="I15" s="7">
        <f t="shared" si="1"/>
        <v>61.199999999999996</v>
      </c>
      <c r="J15" s="8">
        <f t="shared" si="0"/>
        <v>401.2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4</v>
      </c>
      <c r="I16" s="7">
        <f t="shared" si="1"/>
        <v>25.2</v>
      </c>
      <c r="J16" s="8">
        <f t="shared" si="0"/>
        <v>165.2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2350</v>
      </c>
      <c r="F17" s="10">
        <f t="shared" si="3"/>
        <v>423</v>
      </c>
      <c r="G17" s="10">
        <f t="shared" si="2"/>
        <v>2773</v>
      </c>
      <c r="H17" s="10">
        <v>1</v>
      </c>
      <c r="I17" s="7">
        <f t="shared" si="1"/>
        <v>423</v>
      </c>
      <c r="J17" s="12">
        <f t="shared" si="0"/>
        <v>2773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2150</v>
      </c>
      <c r="F18" s="10">
        <f t="shared" si="3"/>
        <v>387</v>
      </c>
      <c r="G18" s="10">
        <f t="shared" si="2"/>
        <v>2537</v>
      </c>
      <c r="H18" s="10">
        <v>1</v>
      </c>
      <c r="I18" s="7">
        <f t="shared" si="1"/>
        <v>387</v>
      </c>
      <c r="J18" s="12">
        <f t="shared" si="0"/>
        <v>2537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54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20</v>
      </c>
      <c r="I21" s="7">
        <f t="shared" si="1"/>
        <v>194.39999999999998</v>
      </c>
      <c r="J21" s="12">
        <f t="shared" si="0"/>
        <v>1274.4000000000001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54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20</v>
      </c>
      <c r="I22" s="7">
        <f t="shared" si="1"/>
        <v>194.39999999999998</v>
      </c>
      <c r="J22" s="12">
        <f t="shared" si="0"/>
        <v>1274.4000000000001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142</v>
      </c>
      <c r="E23" s="27">
        <v>50</v>
      </c>
      <c r="F23" s="10">
        <f t="shared" si="3"/>
        <v>9</v>
      </c>
      <c r="G23" s="10">
        <f t="shared" si="2"/>
        <v>59</v>
      </c>
      <c r="H23" s="10">
        <v>10</v>
      </c>
      <c r="I23" s="7">
        <f t="shared" si="1"/>
        <v>90</v>
      </c>
      <c r="J23" s="12">
        <f t="shared" si="0"/>
        <v>590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142</v>
      </c>
      <c r="E24" s="27">
        <v>50</v>
      </c>
      <c r="F24" s="10">
        <f t="shared" si="3"/>
        <v>9</v>
      </c>
      <c r="G24" s="10">
        <f t="shared" si="2"/>
        <v>59</v>
      </c>
      <c r="H24" s="10">
        <v>10</v>
      </c>
      <c r="I24" s="7">
        <f t="shared" si="1"/>
        <v>90</v>
      </c>
      <c r="J24" s="12">
        <f t="shared" si="0"/>
        <v>590</v>
      </c>
    </row>
    <row r="25" spans="1:14" x14ac:dyDescent="0.25">
      <c r="A25" s="5">
        <v>23</v>
      </c>
      <c r="B25" s="11" t="s">
        <v>150</v>
      </c>
      <c r="C25" s="10" t="s">
        <v>143</v>
      </c>
      <c r="D25" s="10" t="s">
        <v>142</v>
      </c>
      <c r="E25" s="27">
        <v>50</v>
      </c>
      <c r="F25" s="10">
        <f t="shared" si="3"/>
        <v>9</v>
      </c>
      <c r="G25" s="10">
        <f t="shared" si="2"/>
        <v>59</v>
      </c>
      <c r="H25" s="10">
        <v>10</v>
      </c>
      <c r="I25" s="7">
        <f t="shared" si="1"/>
        <v>90</v>
      </c>
      <c r="J25" s="12">
        <f t="shared" si="0"/>
        <v>590</v>
      </c>
    </row>
    <row r="26" spans="1:14" x14ac:dyDescent="0.25">
      <c r="A26" s="5">
        <v>24</v>
      </c>
      <c r="B26" s="11" t="s">
        <v>150</v>
      </c>
      <c r="C26" s="10" t="s">
        <v>144</v>
      </c>
      <c r="D26" s="10" t="s">
        <v>142</v>
      </c>
      <c r="E26" s="27">
        <v>50</v>
      </c>
      <c r="F26" s="10">
        <f t="shared" si="3"/>
        <v>9</v>
      </c>
      <c r="G26" s="10">
        <f t="shared" si="2"/>
        <v>59</v>
      </c>
      <c r="H26" s="10">
        <v>10</v>
      </c>
      <c r="I26" s="7">
        <f t="shared" si="1"/>
        <v>90</v>
      </c>
      <c r="J26" s="12">
        <f t="shared" si="0"/>
        <v>590</v>
      </c>
    </row>
    <row r="27" spans="1:14" x14ac:dyDescent="0.25">
      <c r="A27" s="5">
        <v>25</v>
      </c>
      <c r="B27" s="11" t="s">
        <v>57</v>
      </c>
      <c r="C27" s="10" t="s">
        <v>58</v>
      </c>
      <c r="D27" s="10" t="s">
        <v>54</v>
      </c>
      <c r="E27" s="27">
        <v>22.77</v>
      </c>
      <c r="F27" s="10">
        <f t="shared" si="3"/>
        <v>4.0985999999999994</v>
      </c>
      <c r="G27" s="10">
        <f t="shared" si="2"/>
        <v>26.868600000000001</v>
      </c>
      <c r="H27" s="10">
        <v>20</v>
      </c>
      <c r="I27" s="7">
        <f t="shared" si="1"/>
        <v>81.97199999999998</v>
      </c>
      <c r="J27" s="12">
        <f t="shared" si="0"/>
        <v>537.37200000000007</v>
      </c>
      <c r="N27" s="21"/>
    </row>
    <row r="28" spans="1:14" ht="30" x14ac:dyDescent="0.25">
      <c r="A28" s="5">
        <v>26</v>
      </c>
      <c r="B28" s="23" t="s">
        <v>59</v>
      </c>
      <c r="C28" s="10" t="s">
        <v>58</v>
      </c>
      <c r="D28" s="10" t="s">
        <v>60</v>
      </c>
      <c r="E28" s="27">
        <v>31.35</v>
      </c>
      <c r="F28" s="10">
        <f t="shared" si="3"/>
        <v>5.6429999999999998</v>
      </c>
      <c r="G28" s="10">
        <f t="shared" si="2"/>
        <v>36.993000000000002</v>
      </c>
      <c r="H28" s="10">
        <v>30</v>
      </c>
      <c r="I28" s="7">
        <f t="shared" si="1"/>
        <v>169.29</v>
      </c>
      <c r="J28" s="12">
        <f t="shared" si="0"/>
        <v>1109.79</v>
      </c>
      <c r="N28" s="20"/>
    </row>
    <row r="29" spans="1:14" x14ac:dyDescent="0.25">
      <c r="A29" s="5">
        <v>27</v>
      </c>
      <c r="B29" s="23" t="s">
        <v>61</v>
      </c>
      <c r="C29" s="10" t="s">
        <v>53</v>
      </c>
      <c r="D29" s="10" t="s">
        <v>24</v>
      </c>
      <c r="E29" s="10">
        <v>0</v>
      </c>
      <c r="F29" s="10">
        <f t="shared" si="3"/>
        <v>0</v>
      </c>
      <c r="G29" s="10">
        <f t="shared" si="2"/>
        <v>0</v>
      </c>
      <c r="H29" s="10">
        <v>1</v>
      </c>
      <c r="I29" s="7">
        <f t="shared" si="1"/>
        <v>0</v>
      </c>
      <c r="J29" s="12">
        <f t="shared" si="0"/>
        <v>0</v>
      </c>
    </row>
    <row r="30" spans="1:14" x14ac:dyDescent="0.25">
      <c r="A30" s="5">
        <v>28</v>
      </c>
      <c r="B30" s="25" t="s">
        <v>62</v>
      </c>
      <c r="C30" s="10" t="s">
        <v>63</v>
      </c>
      <c r="D30" s="10" t="s">
        <v>44</v>
      </c>
      <c r="E30" s="10">
        <v>25</v>
      </c>
      <c r="F30" s="10">
        <f t="shared" si="3"/>
        <v>4.5</v>
      </c>
      <c r="G30" s="10">
        <f t="shared" si="2"/>
        <v>29.5</v>
      </c>
      <c r="H30" s="10">
        <v>2</v>
      </c>
      <c r="I30" s="7">
        <f t="shared" si="1"/>
        <v>9</v>
      </c>
      <c r="J30" s="12">
        <f t="shared" si="0"/>
        <v>59</v>
      </c>
    </row>
    <row r="31" spans="1:14" x14ac:dyDescent="0.25">
      <c r="A31" s="5">
        <v>29</v>
      </c>
      <c r="B31" s="11" t="s">
        <v>64</v>
      </c>
      <c r="C31" s="10" t="s">
        <v>65</v>
      </c>
      <c r="D31" s="10" t="s">
        <v>66</v>
      </c>
      <c r="E31" s="10">
        <v>90</v>
      </c>
      <c r="F31" s="10">
        <f t="shared" si="3"/>
        <v>16.2</v>
      </c>
      <c r="G31" s="10">
        <f t="shared" si="2"/>
        <v>106.2</v>
      </c>
      <c r="H31" s="10">
        <v>1</v>
      </c>
      <c r="I31" s="7">
        <f t="shared" si="1"/>
        <v>16.2</v>
      </c>
      <c r="J31" s="12">
        <f t="shared" si="0"/>
        <v>106.2</v>
      </c>
    </row>
    <row r="32" spans="1:14" x14ac:dyDescent="0.25">
      <c r="A32" s="5">
        <v>30</v>
      </c>
      <c r="B32" s="11" t="s">
        <v>67</v>
      </c>
      <c r="C32" s="10" t="s">
        <v>68</v>
      </c>
      <c r="D32" s="10" t="s">
        <v>69</v>
      </c>
      <c r="E32" s="10">
        <v>37</v>
      </c>
      <c r="F32" s="10">
        <f t="shared" si="3"/>
        <v>6.66</v>
      </c>
      <c r="G32" s="10">
        <f t="shared" si="2"/>
        <v>43.66</v>
      </c>
      <c r="H32" s="10">
        <v>10</v>
      </c>
      <c r="I32" s="7">
        <f t="shared" si="1"/>
        <v>66.599999999999994</v>
      </c>
      <c r="J32" s="12">
        <f t="shared" si="0"/>
        <v>436.59999999999997</v>
      </c>
    </row>
    <row r="33" spans="1:10" x14ac:dyDescent="0.25">
      <c r="A33" s="5">
        <v>31</v>
      </c>
      <c r="B33" s="11" t="s">
        <v>70</v>
      </c>
      <c r="C33" s="10" t="s">
        <v>68</v>
      </c>
      <c r="D33" s="10" t="s">
        <v>98</v>
      </c>
      <c r="E33" s="10">
        <v>2.5</v>
      </c>
      <c r="F33" s="10">
        <f t="shared" si="3"/>
        <v>0.44999999999999996</v>
      </c>
      <c r="G33" s="10">
        <f t="shared" si="2"/>
        <v>2.95</v>
      </c>
      <c r="H33" s="10">
        <v>25</v>
      </c>
      <c r="I33" s="7">
        <f t="shared" si="1"/>
        <v>11.249999999999998</v>
      </c>
      <c r="J33" s="12">
        <f t="shared" si="0"/>
        <v>73.75</v>
      </c>
    </row>
    <row r="34" spans="1:10" x14ac:dyDescent="0.25">
      <c r="A34" s="5">
        <v>32</v>
      </c>
      <c r="B34" s="11" t="s">
        <v>72</v>
      </c>
      <c r="C34" s="10" t="s">
        <v>68</v>
      </c>
      <c r="D34" s="10" t="s">
        <v>73</v>
      </c>
      <c r="E34" s="10">
        <v>3.1</v>
      </c>
      <c r="F34" s="10">
        <f t="shared" si="3"/>
        <v>0.55799999999999994</v>
      </c>
      <c r="G34" s="10">
        <f t="shared" si="2"/>
        <v>3.6579999999999999</v>
      </c>
      <c r="H34" s="10">
        <v>5</v>
      </c>
      <c r="I34" s="7">
        <f t="shared" si="1"/>
        <v>2.7899999999999996</v>
      </c>
      <c r="J34" s="12">
        <f t="shared" si="0"/>
        <v>18.29</v>
      </c>
    </row>
    <row r="35" spans="1:10" ht="15.75" thickBot="1" x14ac:dyDescent="0.3">
      <c r="A35" s="5">
        <v>33</v>
      </c>
      <c r="B35" s="22" t="s">
        <v>74</v>
      </c>
      <c r="C35" s="14" t="s">
        <v>68</v>
      </c>
      <c r="D35" s="14" t="s">
        <v>99</v>
      </c>
      <c r="E35" s="14">
        <v>140</v>
      </c>
      <c r="F35" s="14">
        <f t="shared" si="3"/>
        <v>25.2</v>
      </c>
      <c r="G35" s="14">
        <f t="shared" si="2"/>
        <v>165.2</v>
      </c>
      <c r="H35" s="14">
        <v>0.5</v>
      </c>
      <c r="I35" s="15">
        <f t="shared" si="1"/>
        <v>12.6</v>
      </c>
      <c r="J35" s="16">
        <f t="shared" si="0"/>
        <v>82.6</v>
      </c>
    </row>
    <row r="36" spans="1:10" ht="15.75" thickBot="1" x14ac:dyDescent="0.3">
      <c r="A36" s="31" t="s">
        <v>75</v>
      </c>
      <c r="B36" s="32"/>
      <c r="C36" s="32"/>
      <c r="D36" s="32"/>
      <c r="E36" s="33"/>
      <c r="F36" s="2">
        <f>SUM(F3:F35)</f>
        <v>4103.3295999999991</v>
      </c>
      <c r="G36" s="2">
        <f>SUM(G3:G35)</f>
        <v>58179.049600000013</v>
      </c>
      <c r="H36" s="2"/>
      <c r="I36" s="3">
        <f>SUM(I3:I35)</f>
        <v>13379.482000000004</v>
      </c>
      <c r="J36" s="17">
        <f>SUM(J3:J35)</f>
        <v>212004.38200000007</v>
      </c>
    </row>
    <row r="37" spans="1:10" x14ac:dyDescent="0.25">
      <c r="H37" t="s">
        <v>76</v>
      </c>
      <c r="J37" s="18">
        <v>2000</v>
      </c>
    </row>
    <row r="38" spans="1:10" x14ac:dyDescent="0.25">
      <c r="J38" s="19">
        <f>J36*9%</f>
        <v>19080.394380000005</v>
      </c>
    </row>
    <row r="39" spans="1:10" x14ac:dyDescent="0.25">
      <c r="J39" s="19">
        <f>J36+J37+J38</f>
        <v>233084.77638000008</v>
      </c>
    </row>
  </sheetData>
  <mergeCells count="2">
    <mergeCell ref="A1:J1"/>
    <mergeCell ref="A36:E3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7" workbookViewId="0">
      <selection activeCell="M16" sqref="M16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113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114</v>
      </c>
      <c r="E3" s="6">
        <v>14310</v>
      </c>
      <c r="F3" s="6">
        <f>E3*5%</f>
        <v>715.5</v>
      </c>
      <c r="G3" s="6">
        <f>E3+F3</f>
        <v>15025.5</v>
      </c>
      <c r="H3" s="6">
        <v>11</v>
      </c>
      <c r="I3" s="7">
        <f>F3*H3</f>
        <v>7870.5</v>
      </c>
      <c r="J3" s="8">
        <f t="shared" ref="J3:J35" si="0">G3*H3</f>
        <v>165280.5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132</v>
      </c>
      <c r="E4" s="10">
        <v>45500</v>
      </c>
      <c r="F4" s="6">
        <f>E4*5%</f>
        <v>2275</v>
      </c>
      <c r="G4" s="6">
        <f>E4+F4</f>
        <v>47775</v>
      </c>
      <c r="H4" s="10">
        <v>1</v>
      </c>
      <c r="I4" s="7">
        <f t="shared" ref="I4:I35" si="1">F4*H4</f>
        <v>2275</v>
      </c>
      <c r="J4" s="8">
        <f t="shared" si="0"/>
        <v>47775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123</v>
      </c>
      <c r="E5" s="27">
        <v>1490</v>
      </c>
      <c r="F5" s="10">
        <f>E5*18%</f>
        <v>268.2</v>
      </c>
      <c r="G5" s="6">
        <f>E5+F5</f>
        <v>1758.2</v>
      </c>
      <c r="H5" s="10">
        <v>6</v>
      </c>
      <c r="I5" s="7">
        <f t="shared" si="1"/>
        <v>1609.1999999999998</v>
      </c>
      <c r="J5" s="8">
        <f t="shared" si="0"/>
        <v>10549.2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5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104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5</v>
      </c>
      <c r="I7" s="7">
        <f t="shared" si="1"/>
        <v>1021.4999999999999</v>
      </c>
      <c r="J7" s="8">
        <f t="shared" si="0"/>
        <v>6696.5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124</v>
      </c>
      <c r="E8" s="27">
        <v>100</v>
      </c>
      <c r="F8" s="10">
        <f t="shared" ref="F8:F35" si="3">E8*18%</f>
        <v>18</v>
      </c>
      <c r="G8" s="6">
        <f t="shared" si="2"/>
        <v>118</v>
      </c>
      <c r="H8" s="10">
        <v>2</v>
      </c>
      <c r="I8" s="7">
        <f t="shared" si="1"/>
        <v>36</v>
      </c>
      <c r="J8" s="8">
        <f t="shared" si="0"/>
        <v>236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96</v>
      </c>
      <c r="E9" s="27">
        <v>4</v>
      </c>
      <c r="F9" s="10">
        <f t="shared" si="3"/>
        <v>0.72</v>
      </c>
      <c r="G9" s="6">
        <f t="shared" si="2"/>
        <v>4.72</v>
      </c>
      <c r="H9" s="10">
        <v>12</v>
      </c>
      <c r="I9" s="7">
        <f t="shared" si="1"/>
        <v>8.64</v>
      </c>
      <c r="J9" s="8">
        <f t="shared" si="0"/>
        <v>56.64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133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44</v>
      </c>
      <c r="I10" s="7">
        <f t="shared" si="1"/>
        <v>79.199999999999989</v>
      </c>
      <c r="J10" s="8">
        <f t="shared" si="0"/>
        <v>519.20000000000005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100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24</v>
      </c>
      <c r="I11" s="7">
        <f t="shared" si="1"/>
        <v>38.879999999999995</v>
      </c>
      <c r="J11" s="8">
        <f t="shared" si="0"/>
        <v>254.88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96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12</v>
      </c>
      <c r="I13" s="7">
        <f t="shared" si="1"/>
        <v>45.36</v>
      </c>
      <c r="J13" s="8">
        <f t="shared" si="0"/>
        <v>297.36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41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2</v>
      </c>
      <c r="I15" s="7">
        <f t="shared" si="1"/>
        <v>61.199999999999996</v>
      </c>
      <c r="J15" s="8">
        <f t="shared" si="0"/>
        <v>401.2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4</v>
      </c>
      <c r="I16" s="7">
        <f t="shared" si="1"/>
        <v>25.2</v>
      </c>
      <c r="J16" s="8">
        <f t="shared" si="0"/>
        <v>165.2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2350</v>
      </c>
      <c r="F17" s="10">
        <f t="shared" si="3"/>
        <v>423</v>
      </c>
      <c r="G17" s="10">
        <f t="shared" si="2"/>
        <v>2773</v>
      </c>
      <c r="H17" s="10">
        <v>1</v>
      </c>
      <c r="I17" s="7">
        <f t="shared" si="1"/>
        <v>423</v>
      </c>
      <c r="J17" s="12">
        <f t="shared" si="0"/>
        <v>2773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2150</v>
      </c>
      <c r="F18" s="10">
        <f t="shared" si="3"/>
        <v>387</v>
      </c>
      <c r="G18" s="10">
        <f t="shared" si="2"/>
        <v>2537</v>
      </c>
      <c r="H18" s="10">
        <v>1</v>
      </c>
      <c r="I18" s="7">
        <f t="shared" si="1"/>
        <v>387</v>
      </c>
      <c r="J18" s="12">
        <f t="shared" si="0"/>
        <v>2537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145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23</v>
      </c>
      <c r="I21" s="7">
        <f t="shared" si="1"/>
        <v>223.55999999999997</v>
      </c>
      <c r="J21" s="12">
        <f t="shared" si="0"/>
        <v>1465.56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145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23</v>
      </c>
      <c r="I22" s="7">
        <f t="shared" si="1"/>
        <v>223.55999999999997</v>
      </c>
      <c r="J22" s="12">
        <f t="shared" si="0"/>
        <v>1465.56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97</v>
      </c>
      <c r="E23" s="27">
        <v>50</v>
      </c>
      <c r="F23" s="10">
        <f t="shared" si="3"/>
        <v>9</v>
      </c>
      <c r="G23" s="10">
        <f t="shared" si="2"/>
        <v>59</v>
      </c>
      <c r="H23" s="10">
        <v>15</v>
      </c>
      <c r="I23" s="7">
        <f t="shared" si="1"/>
        <v>135</v>
      </c>
      <c r="J23" s="12">
        <f t="shared" si="0"/>
        <v>885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97</v>
      </c>
      <c r="E24" s="27">
        <v>50</v>
      </c>
      <c r="F24" s="10">
        <f t="shared" si="3"/>
        <v>9</v>
      </c>
      <c r="G24" s="10">
        <f t="shared" si="2"/>
        <v>59</v>
      </c>
      <c r="H24" s="10">
        <v>15</v>
      </c>
      <c r="I24" s="7">
        <f t="shared" si="1"/>
        <v>135</v>
      </c>
      <c r="J24" s="12">
        <f t="shared" si="0"/>
        <v>885</v>
      </c>
    </row>
    <row r="25" spans="1:14" x14ac:dyDescent="0.25">
      <c r="A25" s="5">
        <v>23</v>
      </c>
      <c r="B25" s="11" t="s">
        <v>150</v>
      </c>
      <c r="C25" s="10" t="s">
        <v>143</v>
      </c>
      <c r="D25" s="10" t="s">
        <v>141</v>
      </c>
      <c r="E25" s="27">
        <v>50</v>
      </c>
      <c r="F25" s="10">
        <f t="shared" si="3"/>
        <v>9</v>
      </c>
      <c r="G25" s="10">
        <f t="shared" si="2"/>
        <v>59</v>
      </c>
      <c r="H25" s="10">
        <v>10</v>
      </c>
      <c r="I25" s="7">
        <f t="shared" si="1"/>
        <v>90</v>
      </c>
      <c r="J25" s="12">
        <f t="shared" si="0"/>
        <v>590</v>
      </c>
    </row>
    <row r="26" spans="1:14" x14ac:dyDescent="0.25">
      <c r="A26" s="5">
        <v>24</v>
      </c>
      <c r="B26" s="11" t="s">
        <v>150</v>
      </c>
      <c r="C26" s="10" t="s">
        <v>144</v>
      </c>
      <c r="D26" s="10" t="s">
        <v>141</v>
      </c>
      <c r="E26" s="27">
        <v>50</v>
      </c>
      <c r="F26" s="10">
        <f t="shared" si="3"/>
        <v>9</v>
      </c>
      <c r="G26" s="10">
        <f t="shared" si="2"/>
        <v>59</v>
      </c>
      <c r="H26" s="10">
        <v>10</v>
      </c>
      <c r="I26" s="7">
        <f t="shared" si="1"/>
        <v>90</v>
      </c>
      <c r="J26" s="12">
        <f t="shared" si="0"/>
        <v>590</v>
      </c>
    </row>
    <row r="27" spans="1:14" x14ac:dyDescent="0.25">
      <c r="A27" s="5">
        <v>25</v>
      </c>
      <c r="B27" s="11" t="s">
        <v>57</v>
      </c>
      <c r="C27" s="10" t="s">
        <v>58</v>
      </c>
      <c r="D27" s="10" t="s">
        <v>54</v>
      </c>
      <c r="E27" s="27">
        <v>22.77</v>
      </c>
      <c r="F27" s="10">
        <f t="shared" si="3"/>
        <v>4.0985999999999994</v>
      </c>
      <c r="G27" s="10">
        <f t="shared" si="2"/>
        <v>26.868600000000001</v>
      </c>
      <c r="H27" s="10">
        <v>20</v>
      </c>
      <c r="I27" s="7">
        <f t="shared" si="1"/>
        <v>81.97199999999998</v>
      </c>
      <c r="J27" s="12">
        <f t="shared" si="0"/>
        <v>537.37200000000007</v>
      </c>
      <c r="N27" s="21"/>
    </row>
    <row r="28" spans="1:14" ht="30" x14ac:dyDescent="0.25">
      <c r="A28" s="5">
        <v>26</v>
      </c>
      <c r="B28" s="23" t="s">
        <v>59</v>
      </c>
      <c r="C28" s="10" t="s">
        <v>58</v>
      </c>
      <c r="D28" s="10" t="s">
        <v>60</v>
      </c>
      <c r="E28" s="27">
        <v>31.35</v>
      </c>
      <c r="F28" s="10">
        <f t="shared" si="3"/>
        <v>5.6429999999999998</v>
      </c>
      <c r="G28" s="10">
        <f t="shared" si="2"/>
        <v>36.993000000000002</v>
      </c>
      <c r="H28" s="10">
        <v>30</v>
      </c>
      <c r="I28" s="7">
        <f t="shared" si="1"/>
        <v>169.29</v>
      </c>
      <c r="J28" s="12">
        <f t="shared" si="0"/>
        <v>1109.79</v>
      </c>
      <c r="N28" s="20"/>
    </row>
    <row r="29" spans="1:14" x14ac:dyDescent="0.25">
      <c r="A29" s="5">
        <v>27</v>
      </c>
      <c r="B29" s="23" t="s">
        <v>61</v>
      </c>
      <c r="C29" s="10" t="s">
        <v>53</v>
      </c>
      <c r="D29" s="10" t="s">
        <v>24</v>
      </c>
      <c r="E29" s="27">
        <v>0</v>
      </c>
      <c r="F29" s="10">
        <f t="shared" si="3"/>
        <v>0</v>
      </c>
      <c r="G29" s="10">
        <f t="shared" si="2"/>
        <v>0</v>
      </c>
      <c r="H29" s="10">
        <v>1</v>
      </c>
      <c r="I29" s="7">
        <f t="shared" si="1"/>
        <v>0</v>
      </c>
      <c r="J29" s="12">
        <f t="shared" si="0"/>
        <v>0</v>
      </c>
    </row>
    <row r="30" spans="1:14" x14ac:dyDescent="0.25">
      <c r="A30" s="5">
        <v>28</v>
      </c>
      <c r="B30" s="25" t="s">
        <v>62</v>
      </c>
      <c r="C30" s="10" t="s">
        <v>63</v>
      </c>
      <c r="D30" s="10" t="s">
        <v>44</v>
      </c>
      <c r="E30" s="10">
        <v>25</v>
      </c>
      <c r="F30" s="10">
        <f t="shared" si="3"/>
        <v>4.5</v>
      </c>
      <c r="G30" s="10">
        <f t="shared" si="2"/>
        <v>29.5</v>
      </c>
      <c r="H30" s="10">
        <v>2</v>
      </c>
      <c r="I30" s="7">
        <f t="shared" si="1"/>
        <v>9</v>
      </c>
      <c r="J30" s="12">
        <f t="shared" si="0"/>
        <v>59</v>
      </c>
    </row>
    <row r="31" spans="1:14" x14ac:dyDescent="0.25">
      <c r="A31" s="5">
        <v>29</v>
      </c>
      <c r="B31" s="11" t="s">
        <v>64</v>
      </c>
      <c r="C31" s="10" t="s">
        <v>65</v>
      </c>
      <c r="D31" s="10" t="s">
        <v>66</v>
      </c>
      <c r="E31" s="10">
        <v>90</v>
      </c>
      <c r="F31" s="10">
        <f t="shared" si="3"/>
        <v>16.2</v>
      </c>
      <c r="G31" s="10">
        <f t="shared" si="2"/>
        <v>106.2</v>
      </c>
      <c r="H31" s="10">
        <v>1</v>
      </c>
      <c r="I31" s="7">
        <f t="shared" si="1"/>
        <v>16.2</v>
      </c>
      <c r="J31" s="12">
        <f t="shared" si="0"/>
        <v>106.2</v>
      </c>
    </row>
    <row r="32" spans="1:14" x14ac:dyDescent="0.25">
      <c r="A32" s="5">
        <v>30</v>
      </c>
      <c r="B32" s="11" t="s">
        <v>67</v>
      </c>
      <c r="C32" s="10" t="s">
        <v>68</v>
      </c>
      <c r="D32" s="10" t="s">
        <v>69</v>
      </c>
      <c r="E32" s="10">
        <v>37</v>
      </c>
      <c r="F32" s="10">
        <f t="shared" si="3"/>
        <v>6.66</v>
      </c>
      <c r="G32" s="10">
        <f t="shared" si="2"/>
        <v>43.66</v>
      </c>
      <c r="H32" s="10">
        <v>10</v>
      </c>
      <c r="I32" s="7">
        <f t="shared" si="1"/>
        <v>66.599999999999994</v>
      </c>
      <c r="J32" s="12">
        <f t="shared" si="0"/>
        <v>436.59999999999997</v>
      </c>
    </row>
    <row r="33" spans="1:10" x14ac:dyDescent="0.25">
      <c r="A33" s="5">
        <v>31</v>
      </c>
      <c r="B33" s="11" t="s">
        <v>70</v>
      </c>
      <c r="C33" s="10" t="s">
        <v>68</v>
      </c>
      <c r="D33" s="10" t="s">
        <v>98</v>
      </c>
      <c r="E33" s="10">
        <v>2.5</v>
      </c>
      <c r="F33" s="10">
        <f t="shared" si="3"/>
        <v>0.44999999999999996</v>
      </c>
      <c r="G33" s="10">
        <f t="shared" si="2"/>
        <v>2.95</v>
      </c>
      <c r="H33" s="10">
        <v>25</v>
      </c>
      <c r="I33" s="7">
        <f t="shared" si="1"/>
        <v>11.249999999999998</v>
      </c>
      <c r="J33" s="12">
        <f t="shared" si="0"/>
        <v>73.75</v>
      </c>
    </row>
    <row r="34" spans="1:10" x14ac:dyDescent="0.25">
      <c r="A34" s="5">
        <v>32</v>
      </c>
      <c r="B34" s="11" t="s">
        <v>72</v>
      </c>
      <c r="C34" s="10" t="s">
        <v>68</v>
      </c>
      <c r="D34" s="10" t="s">
        <v>73</v>
      </c>
      <c r="E34" s="10">
        <v>3.1</v>
      </c>
      <c r="F34" s="10">
        <f t="shared" si="3"/>
        <v>0.55799999999999994</v>
      </c>
      <c r="G34" s="10">
        <f t="shared" si="2"/>
        <v>3.6579999999999999</v>
      </c>
      <c r="H34" s="10">
        <v>5</v>
      </c>
      <c r="I34" s="7">
        <f t="shared" si="1"/>
        <v>2.7899999999999996</v>
      </c>
      <c r="J34" s="12">
        <f t="shared" si="0"/>
        <v>18.29</v>
      </c>
    </row>
    <row r="35" spans="1:10" ht="15.75" thickBot="1" x14ac:dyDescent="0.3">
      <c r="A35" s="5">
        <v>33</v>
      </c>
      <c r="B35" s="22" t="s">
        <v>74</v>
      </c>
      <c r="C35" s="14" t="s">
        <v>68</v>
      </c>
      <c r="D35" s="14" t="s">
        <v>99</v>
      </c>
      <c r="E35" s="14">
        <v>140</v>
      </c>
      <c r="F35" s="14">
        <f t="shared" si="3"/>
        <v>25.2</v>
      </c>
      <c r="G35" s="14">
        <f t="shared" si="2"/>
        <v>165.2</v>
      </c>
      <c r="H35" s="14">
        <v>0.5</v>
      </c>
      <c r="I35" s="15">
        <f t="shared" si="1"/>
        <v>12.6</v>
      </c>
      <c r="J35" s="16">
        <f t="shared" si="0"/>
        <v>82.6</v>
      </c>
    </row>
    <row r="36" spans="1:10" ht="15.75" thickBot="1" x14ac:dyDescent="0.3">
      <c r="A36" s="31" t="s">
        <v>75</v>
      </c>
      <c r="B36" s="32"/>
      <c r="C36" s="32"/>
      <c r="D36" s="32"/>
      <c r="E36" s="33"/>
      <c r="F36" s="2">
        <f>SUM(F3:F35)</f>
        <v>4928.3296000000009</v>
      </c>
      <c r="G36" s="2">
        <f>SUM(G3:G35)</f>
        <v>75504.049600000013</v>
      </c>
      <c r="H36" s="2"/>
      <c r="I36" s="3">
        <f>SUM(I3:I35)</f>
        <v>15279.802000000003</v>
      </c>
      <c r="J36" s="17">
        <f>SUM(J3:J35)</f>
        <v>246713.70200000008</v>
      </c>
    </row>
    <row r="37" spans="1:10" x14ac:dyDescent="0.25">
      <c r="H37" t="s">
        <v>76</v>
      </c>
      <c r="J37" s="18">
        <v>2000</v>
      </c>
    </row>
    <row r="38" spans="1:10" x14ac:dyDescent="0.25">
      <c r="J38" s="19">
        <f>J36*9%</f>
        <v>22204.233180000007</v>
      </c>
    </row>
    <row r="39" spans="1:10" x14ac:dyDescent="0.25">
      <c r="J39" s="19">
        <f>J36+J37+J38</f>
        <v>270917.93518000009</v>
      </c>
    </row>
  </sheetData>
  <mergeCells count="2">
    <mergeCell ref="A1:J1"/>
    <mergeCell ref="A36:E3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selection activeCell="H4" sqref="H4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116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115</v>
      </c>
      <c r="E3" s="6">
        <v>14310</v>
      </c>
      <c r="F3" s="6">
        <f>E3*5%</f>
        <v>715.5</v>
      </c>
      <c r="G3" s="6">
        <f>E3+F3</f>
        <v>15025.5</v>
      </c>
      <c r="H3" s="6">
        <v>14</v>
      </c>
      <c r="I3" s="7">
        <f>F3*H3</f>
        <v>10017</v>
      </c>
      <c r="J3" s="8">
        <f t="shared" ref="J3:J35" si="0">G3*H3</f>
        <v>210357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132</v>
      </c>
      <c r="E4" s="10">
        <v>45500</v>
      </c>
      <c r="F4" s="6">
        <f>E4*5%</f>
        <v>2275</v>
      </c>
      <c r="G4" s="6">
        <f>E4+F4</f>
        <v>47775</v>
      </c>
      <c r="H4" s="10">
        <v>1</v>
      </c>
      <c r="I4" s="7">
        <f t="shared" ref="I4:I35" si="1">F4*H4</f>
        <v>2275</v>
      </c>
      <c r="J4" s="8">
        <f t="shared" si="0"/>
        <v>47775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123</v>
      </c>
      <c r="E5" s="27">
        <v>1490</v>
      </c>
      <c r="F5" s="10">
        <f>E5*18%</f>
        <v>268.2</v>
      </c>
      <c r="G5" s="6">
        <f>E5+F5</f>
        <v>1758.2</v>
      </c>
      <c r="H5" s="10">
        <v>6</v>
      </c>
      <c r="I5" s="7">
        <f t="shared" si="1"/>
        <v>1609.1999999999998</v>
      </c>
      <c r="J5" s="8">
        <f t="shared" si="0"/>
        <v>10549.2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5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104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5</v>
      </c>
      <c r="I7" s="7">
        <f t="shared" si="1"/>
        <v>1021.4999999999999</v>
      </c>
      <c r="J7" s="8">
        <f t="shared" si="0"/>
        <v>6696.5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95</v>
      </c>
      <c r="E8" s="27">
        <v>100</v>
      </c>
      <c r="F8" s="10">
        <f t="shared" ref="F8:F35" si="3">E8*18%</f>
        <v>18</v>
      </c>
      <c r="G8" s="6">
        <f t="shared" si="2"/>
        <v>118</v>
      </c>
      <c r="H8" s="10">
        <v>3</v>
      </c>
      <c r="I8" s="7">
        <f t="shared" si="1"/>
        <v>54</v>
      </c>
      <c r="J8" s="8">
        <f t="shared" si="0"/>
        <v>354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125</v>
      </c>
      <c r="E9" s="27">
        <v>4</v>
      </c>
      <c r="F9" s="10">
        <f t="shared" si="3"/>
        <v>0.72</v>
      </c>
      <c r="G9" s="6">
        <f t="shared" si="2"/>
        <v>4.72</v>
      </c>
      <c r="H9" s="10">
        <v>18</v>
      </c>
      <c r="I9" s="7">
        <f t="shared" si="1"/>
        <v>12.959999999999999</v>
      </c>
      <c r="J9" s="8">
        <f t="shared" si="0"/>
        <v>84.96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131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44</v>
      </c>
      <c r="I10" s="7">
        <f t="shared" si="1"/>
        <v>79.199999999999989</v>
      </c>
      <c r="J10" s="8">
        <f t="shared" si="0"/>
        <v>519.20000000000005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100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24</v>
      </c>
      <c r="I11" s="7">
        <f t="shared" si="1"/>
        <v>38.879999999999995</v>
      </c>
      <c r="J11" s="8">
        <f t="shared" si="0"/>
        <v>254.88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96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12</v>
      </c>
      <c r="I13" s="7">
        <f t="shared" si="1"/>
        <v>45.36</v>
      </c>
      <c r="J13" s="8">
        <f t="shared" si="0"/>
        <v>297.36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130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2</v>
      </c>
      <c r="I15" s="7">
        <f t="shared" si="1"/>
        <v>61.199999999999996</v>
      </c>
      <c r="J15" s="8">
        <f t="shared" si="0"/>
        <v>401.2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4</v>
      </c>
      <c r="I16" s="7">
        <f t="shared" si="1"/>
        <v>25.2</v>
      </c>
      <c r="J16" s="8">
        <f t="shared" si="0"/>
        <v>165.2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2350</v>
      </c>
      <c r="F17" s="10">
        <f t="shared" si="3"/>
        <v>423</v>
      </c>
      <c r="G17" s="10">
        <f t="shared" si="2"/>
        <v>2773</v>
      </c>
      <c r="H17" s="10">
        <v>1</v>
      </c>
      <c r="I17" s="7">
        <f t="shared" si="1"/>
        <v>423</v>
      </c>
      <c r="J17" s="12">
        <f t="shared" si="0"/>
        <v>2773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2150</v>
      </c>
      <c r="F18" s="10">
        <f t="shared" si="3"/>
        <v>387</v>
      </c>
      <c r="G18" s="10">
        <f t="shared" si="2"/>
        <v>2537</v>
      </c>
      <c r="H18" s="10">
        <v>1</v>
      </c>
      <c r="I18" s="7">
        <f t="shared" si="1"/>
        <v>387</v>
      </c>
      <c r="J18" s="12">
        <f t="shared" si="0"/>
        <v>2537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145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23</v>
      </c>
      <c r="I21" s="7">
        <f t="shared" si="1"/>
        <v>223.55999999999997</v>
      </c>
      <c r="J21" s="12">
        <f t="shared" si="0"/>
        <v>1465.56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145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23</v>
      </c>
      <c r="I22" s="7">
        <f t="shared" si="1"/>
        <v>223.55999999999997</v>
      </c>
      <c r="J22" s="12">
        <f t="shared" si="0"/>
        <v>1465.56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97</v>
      </c>
      <c r="E23" s="27">
        <v>50</v>
      </c>
      <c r="F23" s="10">
        <f t="shared" si="3"/>
        <v>9</v>
      </c>
      <c r="G23" s="10">
        <f t="shared" si="2"/>
        <v>59</v>
      </c>
      <c r="H23" s="10">
        <v>15</v>
      </c>
      <c r="I23" s="7">
        <f t="shared" si="1"/>
        <v>135</v>
      </c>
      <c r="J23" s="12">
        <f t="shared" si="0"/>
        <v>885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97</v>
      </c>
      <c r="E24" s="27">
        <v>50</v>
      </c>
      <c r="F24" s="10">
        <f t="shared" si="3"/>
        <v>9</v>
      </c>
      <c r="G24" s="10">
        <f t="shared" si="2"/>
        <v>59</v>
      </c>
      <c r="H24" s="10">
        <v>15</v>
      </c>
      <c r="I24" s="7">
        <f t="shared" si="1"/>
        <v>135</v>
      </c>
      <c r="J24" s="12">
        <f t="shared" si="0"/>
        <v>885</v>
      </c>
    </row>
    <row r="25" spans="1:14" x14ac:dyDescent="0.25">
      <c r="A25" s="5">
        <v>23</v>
      </c>
      <c r="B25" s="11" t="s">
        <v>150</v>
      </c>
      <c r="C25" s="10" t="s">
        <v>143</v>
      </c>
      <c r="D25" s="10" t="s">
        <v>142</v>
      </c>
      <c r="E25" s="27">
        <v>50</v>
      </c>
      <c r="F25" s="10">
        <f t="shared" si="3"/>
        <v>9</v>
      </c>
      <c r="G25" s="10">
        <f t="shared" si="2"/>
        <v>59</v>
      </c>
      <c r="H25" s="10">
        <v>10</v>
      </c>
      <c r="I25" s="7">
        <f t="shared" si="1"/>
        <v>90</v>
      </c>
      <c r="J25" s="12">
        <f t="shared" si="0"/>
        <v>590</v>
      </c>
    </row>
    <row r="26" spans="1:14" x14ac:dyDescent="0.25">
      <c r="A26" s="5">
        <v>24</v>
      </c>
      <c r="B26" s="11" t="s">
        <v>150</v>
      </c>
      <c r="C26" s="10" t="s">
        <v>144</v>
      </c>
      <c r="D26" s="10" t="s">
        <v>142</v>
      </c>
      <c r="E26" s="27">
        <v>50</v>
      </c>
      <c r="F26" s="10">
        <f t="shared" si="3"/>
        <v>9</v>
      </c>
      <c r="G26" s="10">
        <f t="shared" si="2"/>
        <v>59</v>
      </c>
      <c r="H26" s="10">
        <v>10</v>
      </c>
      <c r="I26" s="7">
        <f t="shared" si="1"/>
        <v>90</v>
      </c>
      <c r="J26" s="12">
        <f t="shared" si="0"/>
        <v>590</v>
      </c>
    </row>
    <row r="27" spans="1:14" x14ac:dyDescent="0.25">
      <c r="A27" s="5">
        <v>25</v>
      </c>
      <c r="B27" s="11" t="s">
        <v>57</v>
      </c>
      <c r="C27" s="10" t="s">
        <v>58</v>
      </c>
      <c r="D27" s="10" t="s">
        <v>54</v>
      </c>
      <c r="E27" s="27">
        <v>22.77</v>
      </c>
      <c r="F27" s="10">
        <f t="shared" si="3"/>
        <v>4.0985999999999994</v>
      </c>
      <c r="G27" s="10">
        <f t="shared" si="2"/>
        <v>26.868600000000001</v>
      </c>
      <c r="H27" s="10">
        <v>20</v>
      </c>
      <c r="I27" s="7">
        <f t="shared" si="1"/>
        <v>81.97199999999998</v>
      </c>
      <c r="J27" s="12">
        <f t="shared" si="0"/>
        <v>537.37200000000007</v>
      </c>
      <c r="N27" s="21"/>
    </row>
    <row r="28" spans="1:14" ht="30" x14ac:dyDescent="0.25">
      <c r="A28" s="5">
        <v>26</v>
      </c>
      <c r="B28" s="23" t="s">
        <v>59</v>
      </c>
      <c r="C28" s="10" t="s">
        <v>58</v>
      </c>
      <c r="D28" s="10" t="s">
        <v>60</v>
      </c>
      <c r="E28" s="27">
        <v>31.35</v>
      </c>
      <c r="F28" s="10">
        <f t="shared" si="3"/>
        <v>5.6429999999999998</v>
      </c>
      <c r="G28" s="10">
        <f t="shared" si="2"/>
        <v>36.993000000000002</v>
      </c>
      <c r="H28" s="10">
        <v>30</v>
      </c>
      <c r="I28" s="7">
        <f t="shared" si="1"/>
        <v>169.29</v>
      </c>
      <c r="J28" s="12">
        <f t="shared" si="0"/>
        <v>1109.79</v>
      </c>
      <c r="N28" s="20"/>
    </row>
    <row r="29" spans="1:14" x14ac:dyDescent="0.25">
      <c r="A29" s="5">
        <v>27</v>
      </c>
      <c r="B29" s="23" t="s">
        <v>61</v>
      </c>
      <c r="C29" s="10" t="s">
        <v>53</v>
      </c>
      <c r="D29" s="10" t="s">
        <v>24</v>
      </c>
      <c r="E29" s="10">
        <v>0</v>
      </c>
      <c r="F29" s="10">
        <f t="shared" si="3"/>
        <v>0</v>
      </c>
      <c r="G29" s="10">
        <f t="shared" si="2"/>
        <v>0</v>
      </c>
      <c r="H29" s="10">
        <v>1</v>
      </c>
      <c r="I29" s="7">
        <f t="shared" si="1"/>
        <v>0</v>
      </c>
      <c r="J29" s="12">
        <f t="shared" si="0"/>
        <v>0</v>
      </c>
    </row>
    <row r="30" spans="1:14" x14ac:dyDescent="0.25">
      <c r="A30" s="5">
        <v>28</v>
      </c>
      <c r="B30" s="25" t="s">
        <v>62</v>
      </c>
      <c r="C30" s="10" t="s">
        <v>63</v>
      </c>
      <c r="D30" s="10" t="s">
        <v>44</v>
      </c>
      <c r="E30" s="10">
        <v>25</v>
      </c>
      <c r="F30" s="10">
        <f t="shared" si="3"/>
        <v>4.5</v>
      </c>
      <c r="G30" s="10">
        <f t="shared" si="2"/>
        <v>29.5</v>
      </c>
      <c r="H30" s="10">
        <v>2</v>
      </c>
      <c r="I30" s="7">
        <f t="shared" si="1"/>
        <v>9</v>
      </c>
      <c r="J30" s="12">
        <f t="shared" si="0"/>
        <v>59</v>
      </c>
    </row>
    <row r="31" spans="1:14" x14ac:dyDescent="0.25">
      <c r="A31" s="5">
        <v>29</v>
      </c>
      <c r="B31" s="11" t="s">
        <v>64</v>
      </c>
      <c r="C31" s="10" t="s">
        <v>65</v>
      </c>
      <c r="D31" s="10" t="s">
        <v>66</v>
      </c>
      <c r="E31" s="10">
        <v>90</v>
      </c>
      <c r="F31" s="10">
        <f t="shared" si="3"/>
        <v>16.2</v>
      </c>
      <c r="G31" s="10">
        <f t="shared" si="2"/>
        <v>106.2</v>
      </c>
      <c r="H31" s="10">
        <v>1</v>
      </c>
      <c r="I31" s="7">
        <f t="shared" si="1"/>
        <v>16.2</v>
      </c>
      <c r="J31" s="12">
        <f t="shared" si="0"/>
        <v>106.2</v>
      </c>
    </row>
    <row r="32" spans="1:14" x14ac:dyDescent="0.25">
      <c r="A32" s="5">
        <v>30</v>
      </c>
      <c r="B32" s="11" t="s">
        <v>67</v>
      </c>
      <c r="C32" s="10" t="s">
        <v>68</v>
      </c>
      <c r="D32" s="10" t="s">
        <v>69</v>
      </c>
      <c r="E32" s="10">
        <v>37</v>
      </c>
      <c r="F32" s="10">
        <f t="shared" si="3"/>
        <v>6.66</v>
      </c>
      <c r="G32" s="10">
        <f t="shared" si="2"/>
        <v>43.66</v>
      </c>
      <c r="H32" s="10">
        <v>10</v>
      </c>
      <c r="I32" s="7">
        <f t="shared" si="1"/>
        <v>66.599999999999994</v>
      </c>
      <c r="J32" s="12">
        <f t="shared" si="0"/>
        <v>436.59999999999997</v>
      </c>
    </row>
    <row r="33" spans="1:10" x14ac:dyDescent="0.25">
      <c r="A33" s="5">
        <v>31</v>
      </c>
      <c r="B33" s="11" t="s">
        <v>70</v>
      </c>
      <c r="C33" s="10" t="s">
        <v>68</v>
      </c>
      <c r="D33" s="10" t="s">
        <v>98</v>
      </c>
      <c r="E33" s="10">
        <v>2.5</v>
      </c>
      <c r="F33" s="10">
        <f t="shared" si="3"/>
        <v>0.44999999999999996</v>
      </c>
      <c r="G33" s="10">
        <f t="shared" si="2"/>
        <v>2.95</v>
      </c>
      <c r="H33" s="10">
        <v>25</v>
      </c>
      <c r="I33" s="7">
        <f t="shared" si="1"/>
        <v>11.249999999999998</v>
      </c>
      <c r="J33" s="12">
        <f t="shared" si="0"/>
        <v>73.75</v>
      </c>
    </row>
    <row r="34" spans="1:10" x14ac:dyDescent="0.25">
      <c r="A34" s="5">
        <v>32</v>
      </c>
      <c r="B34" s="11" t="s">
        <v>72</v>
      </c>
      <c r="C34" s="10" t="s">
        <v>68</v>
      </c>
      <c r="D34" s="10" t="s">
        <v>73</v>
      </c>
      <c r="E34" s="10">
        <v>3.1</v>
      </c>
      <c r="F34" s="10">
        <f t="shared" si="3"/>
        <v>0.55799999999999994</v>
      </c>
      <c r="G34" s="10">
        <f t="shared" si="2"/>
        <v>3.6579999999999999</v>
      </c>
      <c r="H34" s="10">
        <v>5</v>
      </c>
      <c r="I34" s="7">
        <f t="shared" si="1"/>
        <v>2.7899999999999996</v>
      </c>
      <c r="J34" s="12">
        <f t="shared" si="0"/>
        <v>18.29</v>
      </c>
    </row>
    <row r="35" spans="1:10" ht="15.75" thickBot="1" x14ac:dyDescent="0.3">
      <c r="A35" s="5">
        <v>33</v>
      </c>
      <c r="B35" s="22" t="s">
        <v>74</v>
      </c>
      <c r="C35" s="14" t="s">
        <v>68</v>
      </c>
      <c r="D35" s="14" t="s">
        <v>99</v>
      </c>
      <c r="E35" s="14">
        <v>140</v>
      </c>
      <c r="F35" s="14">
        <f t="shared" si="3"/>
        <v>25.2</v>
      </c>
      <c r="G35" s="14">
        <f t="shared" si="2"/>
        <v>165.2</v>
      </c>
      <c r="H35" s="14">
        <v>0.5</v>
      </c>
      <c r="I35" s="15">
        <f t="shared" si="1"/>
        <v>12.6</v>
      </c>
      <c r="J35" s="16">
        <f t="shared" si="0"/>
        <v>82.6</v>
      </c>
    </row>
    <row r="36" spans="1:10" ht="15.75" thickBot="1" x14ac:dyDescent="0.3">
      <c r="A36" s="31" t="s">
        <v>75</v>
      </c>
      <c r="B36" s="32"/>
      <c r="C36" s="32"/>
      <c r="D36" s="32"/>
      <c r="E36" s="33"/>
      <c r="F36" s="2">
        <f>SUM(F3:F35)</f>
        <v>4928.3296000000009</v>
      </c>
      <c r="G36" s="2">
        <f>SUM(G3:G35)</f>
        <v>75504.049600000013</v>
      </c>
      <c r="H36" s="2"/>
      <c r="I36" s="3">
        <f>SUM(I3:I35)</f>
        <v>17448.622000000003</v>
      </c>
      <c r="J36" s="17">
        <f>SUM(J3:J35)</f>
        <v>291936.52199999994</v>
      </c>
    </row>
    <row r="37" spans="1:10" x14ac:dyDescent="0.25">
      <c r="H37" t="s">
        <v>76</v>
      </c>
      <c r="J37" s="18">
        <v>2000</v>
      </c>
    </row>
    <row r="38" spans="1:10" x14ac:dyDescent="0.25">
      <c r="J38" s="19">
        <f>J36*9%</f>
        <v>26274.286979999993</v>
      </c>
    </row>
    <row r="39" spans="1:10" x14ac:dyDescent="0.25">
      <c r="J39" s="19">
        <f>J36+J37+J38</f>
        <v>320210.80897999991</v>
      </c>
    </row>
  </sheetData>
  <mergeCells count="2">
    <mergeCell ref="A1:J1"/>
    <mergeCell ref="A36:E3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7" workbookViewId="0">
      <selection activeCell="L20" sqref="L20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117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118</v>
      </c>
      <c r="E3" s="6">
        <v>14310</v>
      </c>
      <c r="F3" s="6">
        <f>E3*5%</f>
        <v>715.5</v>
      </c>
      <c r="G3" s="6">
        <f>E3+F3</f>
        <v>15025.5</v>
      </c>
      <c r="H3" s="6">
        <v>15</v>
      </c>
      <c r="I3" s="7">
        <f>F3*H3</f>
        <v>10732.5</v>
      </c>
      <c r="J3" s="8">
        <f t="shared" ref="J3:J35" si="0">G3*H3</f>
        <v>225382.5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119</v>
      </c>
      <c r="E4" s="10">
        <v>46500</v>
      </c>
      <c r="F4" s="6">
        <f>E4*5%</f>
        <v>2325</v>
      </c>
      <c r="G4" s="6">
        <f>E4+F4</f>
        <v>48825</v>
      </c>
      <c r="H4" s="10">
        <v>1</v>
      </c>
      <c r="I4" s="7">
        <f t="shared" ref="I4:I35" si="1">F4*H4</f>
        <v>2325</v>
      </c>
      <c r="J4" s="8">
        <f t="shared" si="0"/>
        <v>48825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19</v>
      </c>
      <c r="E5" s="27">
        <v>1490</v>
      </c>
      <c r="F5" s="10">
        <f>E5*18%</f>
        <v>268.2</v>
      </c>
      <c r="G5" s="6">
        <f>E5+F5</f>
        <v>1758.2</v>
      </c>
      <c r="H5" s="10">
        <v>7</v>
      </c>
      <c r="I5" s="7">
        <f t="shared" si="1"/>
        <v>1877.3999999999999</v>
      </c>
      <c r="J5" s="8">
        <f t="shared" si="0"/>
        <v>12307.4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5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123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6</v>
      </c>
      <c r="I7" s="7">
        <f t="shared" si="1"/>
        <v>1225.8</v>
      </c>
      <c r="J7" s="8">
        <f t="shared" si="0"/>
        <v>8035.7999999999993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95</v>
      </c>
      <c r="E8" s="27">
        <v>100</v>
      </c>
      <c r="F8" s="10">
        <f t="shared" ref="F8:F35" si="3">E8*18%</f>
        <v>18</v>
      </c>
      <c r="G8" s="6">
        <f t="shared" si="2"/>
        <v>118</v>
      </c>
      <c r="H8" s="10">
        <v>3</v>
      </c>
      <c r="I8" s="7">
        <f t="shared" si="1"/>
        <v>54</v>
      </c>
      <c r="J8" s="8">
        <f t="shared" si="0"/>
        <v>354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125</v>
      </c>
      <c r="E9" s="27">
        <v>4</v>
      </c>
      <c r="F9" s="10">
        <f t="shared" si="3"/>
        <v>0.72</v>
      </c>
      <c r="G9" s="6">
        <f t="shared" si="2"/>
        <v>4.72</v>
      </c>
      <c r="H9" s="10">
        <v>18</v>
      </c>
      <c r="I9" s="7">
        <f t="shared" si="1"/>
        <v>12.959999999999999</v>
      </c>
      <c r="J9" s="8">
        <f t="shared" si="0"/>
        <v>84.96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129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52</v>
      </c>
      <c r="I10" s="7">
        <f t="shared" si="1"/>
        <v>93.6</v>
      </c>
      <c r="J10" s="8">
        <f t="shared" si="0"/>
        <v>613.6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95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30</v>
      </c>
      <c r="I11" s="7">
        <f t="shared" si="1"/>
        <v>48.599999999999994</v>
      </c>
      <c r="J11" s="8">
        <f t="shared" si="0"/>
        <v>318.59999999999997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128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15</v>
      </c>
      <c r="I13" s="7">
        <f t="shared" si="1"/>
        <v>56.699999999999996</v>
      </c>
      <c r="J13" s="8">
        <f t="shared" si="0"/>
        <v>371.70000000000005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24</v>
      </c>
      <c r="E14" s="27">
        <v>150</v>
      </c>
      <c r="F14" s="10">
        <f t="shared" si="3"/>
        <v>27</v>
      </c>
      <c r="G14" s="6">
        <f t="shared" si="2"/>
        <v>177</v>
      </c>
      <c r="H14" s="10">
        <v>1</v>
      </c>
      <c r="I14" s="7">
        <f t="shared" si="1"/>
        <v>27</v>
      </c>
      <c r="J14" s="8">
        <f t="shared" si="0"/>
        <v>177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130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2</v>
      </c>
      <c r="I15" s="7">
        <f t="shared" si="1"/>
        <v>61.199999999999996</v>
      </c>
      <c r="J15" s="8">
        <f t="shared" si="0"/>
        <v>401.2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4</v>
      </c>
      <c r="I16" s="7">
        <f t="shared" si="1"/>
        <v>25.2</v>
      </c>
      <c r="J16" s="8">
        <f t="shared" si="0"/>
        <v>165.2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2350</v>
      </c>
      <c r="F17" s="10">
        <f t="shared" si="3"/>
        <v>423</v>
      </c>
      <c r="G17" s="10">
        <f t="shared" si="2"/>
        <v>2773</v>
      </c>
      <c r="H17" s="10">
        <v>1</v>
      </c>
      <c r="I17" s="7">
        <f t="shared" si="1"/>
        <v>423</v>
      </c>
      <c r="J17" s="12">
        <f t="shared" si="0"/>
        <v>2773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2150</v>
      </c>
      <c r="F18" s="10">
        <f t="shared" si="3"/>
        <v>387</v>
      </c>
      <c r="G18" s="10">
        <f t="shared" si="2"/>
        <v>2537</v>
      </c>
      <c r="H18" s="10">
        <v>1</v>
      </c>
      <c r="I18" s="7">
        <f t="shared" si="1"/>
        <v>387</v>
      </c>
      <c r="J18" s="12">
        <f t="shared" si="0"/>
        <v>2537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145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23</v>
      </c>
      <c r="I21" s="7">
        <f t="shared" si="1"/>
        <v>223.55999999999997</v>
      </c>
      <c r="J21" s="12">
        <f t="shared" si="0"/>
        <v>1465.56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145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23</v>
      </c>
      <c r="I22" s="7">
        <f t="shared" si="1"/>
        <v>223.55999999999997</v>
      </c>
      <c r="J22" s="12">
        <f t="shared" si="0"/>
        <v>1465.56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97</v>
      </c>
      <c r="E23" s="27">
        <v>50</v>
      </c>
      <c r="F23" s="10">
        <f t="shared" si="3"/>
        <v>9</v>
      </c>
      <c r="G23" s="10">
        <f t="shared" si="2"/>
        <v>59</v>
      </c>
      <c r="H23" s="10">
        <v>15</v>
      </c>
      <c r="I23" s="7">
        <f t="shared" si="1"/>
        <v>135</v>
      </c>
      <c r="J23" s="12">
        <f t="shared" si="0"/>
        <v>885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97</v>
      </c>
      <c r="E24" s="27">
        <v>50</v>
      </c>
      <c r="F24" s="10">
        <f t="shared" si="3"/>
        <v>9</v>
      </c>
      <c r="G24" s="10">
        <f t="shared" si="2"/>
        <v>59</v>
      </c>
      <c r="H24" s="10">
        <v>15</v>
      </c>
      <c r="I24" s="7">
        <f t="shared" si="1"/>
        <v>135</v>
      </c>
      <c r="J24" s="12">
        <f t="shared" si="0"/>
        <v>885</v>
      </c>
    </row>
    <row r="25" spans="1:14" x14ac:dyDescent="0.25">
      <c r="A25" s="5">
        <v>23</v>
      </c>
      <c r="B25" s="11" t="s">
        <v>150</v>
      </c>
      <c r="C25" s="10" t="s">
        <v>143</v>
      </c>
      <c r="D25" s="10" t="s">
        <v>142</v>
      </c>
      <c r="E25" s="27">
        <v>50</v>
      </c>
      <c r="F25" s="10">
        <f t="shared" si="3"/>
        <v>9</v>
      </c>
      <c r="G25" s="10">
        <f t="shared" si="2"/>
        <v>59</v>
      </c>
      <c r="H25" s="10">
        <v>10</v>
      </c>
      <c r="I25" s="7">
        <f t="shared" si="1"/>
        <v>90</v>
      </c>
      <c r="J25" s="12">
        <f t="shared" si="0"/>
        <v>590</v>
      </c>
    </row>
    <row r="26" spans="1:14" x14ac:dyDescent="0.25">
      <c r="A26" s="5">
        <v>24</v>
      </c>
      <c r="B26" s="11" t="s">
        <v>150</v>
      </c>
      <c r="C26" s="10" t="s">
        <v>144</v>
      </c>
      <c r="D26" s="10" t="s">
        <v>142</v>
      </c>
      <c r="E26" s="27">
        <v>50</v>
      </c>
      <c r="F26" s="10">
        <f t="shared" si="3"/>
        <v>9</v>
      </c>
      <c r="G26" s="10">
        <f t="shared" si="2"/>
        <v>59</v>
      </c>
      <c r="H26" s="10">
        <v>10</v>
      </c>
      <c r="I26" s="7">
        <f t="shared" si="1"/>
        <v>90</v>
      </c>
      <c r="J26" s="12">
        <f t="shared" si="0"/>
        <v>590</v>
      </c>
    </row>
    <row r="27" spans="1:14" x14ac:dyDescent="0.25">
      <c r="A27" s="5">
        <v>25</v>
      </c>
      <c r="B27" s="11" t="s">
        <v>57</v>
      </c>
      <c r="C27" s="10" t="s">
        <v>58</v>
      </c>
      <c r="D27" s="10" t="s">
        <v>54</v>
      </c>
      <c r="E27" s="27">
        <v>22.77</v>
      </c>
      <c r="F27" s="10">
        <f t="shared" si="3"/>
        <v>4.0985999999999994</v>
      </c>
      <c r="G27" s="10">
        <f t="shared" si="2"/>
        <v>26.868600000000001</v>
      </c>
      <c r="H27" s="10">
        <v>20</v>
      </c>
      <c r="I27" s="7">
        <f t="shared" si="1"/>
        <v>81.97199999999998</v>
      </c>
      <c r="J27" s="12">
        <f t="shared" si="0"/>
        <v>537.37200000000007</v>
      </c>
      <c r="N27" s="21"/>
    </row>
    <row r="28" spans="1:14" ht="30" x14ac:dyDescent="0.25">
      <c r="A28" s="5">
        <v>26</v>
      </c>
      <c r="B28" s="23" t="s">
        <v>59</v>
      </c>
      <c r="C28" s="10" t="s">
        <v>58</v>
      </c>
      <c r="D28" s="10" t="s">
        <v>60</v>
      </c>
      <c r="E28" s="27">
        <v>31.35</v>
      </c>
      <c r="F28" s="10">
        <f t="shared" si="3"/>
        <v>5.6429999999999998</v>
      </c>
      <c r="G28" s="10">
        <f t="shared" si="2"/>
        <v>36.993000000000002</v>
      </c>
      <c r="H28" s="10">
        <v>30</v>
      </c>
      <c r="I28" s="7">
        <f t="shared" si="1"/>
        <v>169.29</v>
      </c>
      <c r="J28" s="12">
        <f t="shared" si="0"/>
        <v>1109.79</v>
      </c>
      <c r="N28" s="20"/>
    </row>
    <row r="29" spans="1:14" x14ac:dyDescent="0.25">
      <c r="A29" s="5">
        <v>27</v>
      </c>
      <c r="B29" s="23" t="s">
        <v>61</v>
      </c>
      <c r="C29" s="10" t="s">
        <v>53</v>
      </c>
      <c r="D29" s="10" t="s">
        <v>24</v>
      </c>
      <c r="E29" s="27">
        <v>0</v>
      </c>
      <c r="F29" s="10">
        <f t="shared" si="3"/>
        <v>0</v>
      </c>
      <c r="G29" s="10">
        <f t="shared" si="2"/>
        <v>0</v>
      </c>
      <c r="H29" s="10">
        <v>1</v>
      </c>
      <c r="I29" s="7">
        <f t="shared" si="1"/>
        <v>0</v>
      </c>
      <c r="J29" s="12">
        <f t="shared" si="0"/>
        <v>0</v>
      </c>
    </row>
    <row r="30" spans="1:14" x14ac:dyDescent="0.25">
      <c r="A30" s="5">
        <v>28</v>
      </c>
      <c r="B30" s="25" t="s">
        <v>62</v>
      </c>
      <c r="C30" s="10" t="s">
        <v>63</v>
      </c>
      <c r="D30" s="10" t="s">
        <v>44</v>
      </c>
      <c r="E30" s="10">
        <v>25</v>
      </c>
      <c r="F30" s="10">
        <f t="shared" si="3"/>
        <v>4.5</v>
      </c>
      <c r="G30" s="10">
        <f t="shared" si="2"/>
        <v>29.5</v>
      </c>
      <c r="H30" s="10">
        <v>2</v>
      </c>
      <c r="I30" s="7">
        <f t="shared" si="1"/>
        <v>9</v>
      </c>
      <c r="J30" s="12">
        <f t="shared" si="0"/>
        <v>59</v>
      </c>
    </row>
    <row r="31" spans="1:14" x14ac:dyDescent="0.25">
      <c r="A31" s="5">
        <v>29</v>
      </c>
      <c r="B31" s="11" t="s">
        <v>64</v>
      </c>
      <c r="C31" s="10" t="s">
        <v>65</v>
      </c>
      <c r="D31" s="10" t="s">
        <v>66</v>
      </c>
      <c r="E31" s="10">
        <v>90</v>
      </c>
      <c r="F31" s="10">
        <f t="shared" si="3"/>
        <v>16.2</v>
      </c>
      <c r="G31" s="10">
        <f t="shared" si="2"/>
        <v>106.2</v>
      </c>
      <c r="H31" s="10">
        <v>1</v>
      </c>
      <c r="I31" s="7">
        <f t="shared" si="1"/>
        <v>16.2</v>
      </c>
      <c r="J31" s="12">
        <f t="shared" si="0"/>
        <v>106.2</v>
      </c>
    </row>
    <row r="32" spans="1:14" x14ac:dyDescent="0.25">
      <c r="A32" s="5">
        <v>30</v>
      </c>
      <c r="B32" s="11" t="s">
        <v>67</v>
      </c>
      <c r="C32" s="10" t="s">
        <v>68</v>
      </c>
      <c r="D32" s="10" t="s">
        <v>69</v>
      </c>
      <c r="E32" s="10">
        <v>37</v>
      </c>
      <c r="F32" s="10">
        <f t="shared" si="3"/>
        <v>6.66</v>
      </c>
      <c r="G32" s="10">
        <f t="shared" si="2"/>
        <v>43.66</v>
      </c>
      <c r="H32" s="10">
        <v>10</v>
      </c>
      <c r="I32" s="7">
        <f t="shared" si="1"/>
        <v>66.599999999999994</v>
      </c>
      <c r="J32" s="12">
        <f t="shared" si="0"/>
        <v>436.59999999999997</v>
      </c>
    </row>
    <row r="33" spans="1:10" x14ac:dyDescent="0.25">
      <c r="A33" s="5">
        <v>31</v>
      </c>
      <c r="B33" s="11" t="s">
        <v>70</v>
      </c>
      <c r="C33" s="10" t="s">
        <v>68</v>
      </c>
      <c r="D33" s="10" t="s">
        <v>98</v>
      </c>
      <c r="E33" s="10">
        <v>2.5</v>
      </c>
      <c r="F33" s="10">
        <f t="shared" si="3"/>
        <v>0.44999999999999996</v>
      </c>
      <c r="G33" s="10">
        <f t="shared" si="2"/>
        <v>2.95</v>
      </c>
      <c r="H33" s="10">
        <v>25</v>
      </c>
      <c r="I33" s="7">
        <f t="shared" si="1"/>
        <v>11.249999999999998</v>
      </c>
      <c r="J33" s="12">
        <f t="shared" si="0"/>
        <v>73.75</v>
      </c>
    </row>
    <row r="34" spans="1:10" x14ac:dyDescent="0.25">
      <c r="A34" s="5">
        <v>32</v>
      </c>
      <c r="B34" s="11" t="s">
        <v>72</v>
      </c>
      <c r="C34" s="10" t="s">
        <v>68</v>
      </c>
      <c r="D34" s="10" t="s">
        <v>73</v>
      </c>
      <c r="E34" s="10">
        <v>3.1</v>
      </c>
      <c r="F34" s="10">
        <f t="shared" si="3"/>
        <v>0.55799999999999994</v>
      </c>
      <c r="G34" s="10">
        <f t="shared" si="2"/>
        <v>3.6579999999999999</v>
      </c>
      <c r="H34" s="10">
        <v>5</v>
      </c>
      <c r="I34" s="7">
        <f t="shared" si="1"/>
        <v>2.7899999999999996</v>
      </c>
      <c r="J34" s="12">
        <f t="shared" si="0"/>
        <v>18.29</v>
      </c>
    </row>
    <row r="35" spans="1:10" ht="15.75" thickBot="1" x14ac:dyDescent="0.3">
      <c r="A35" s="5">
        <v>33</v>
      </c>
      <c r="B35" s="22" t="s">
        <v>74</v>
      </c>
      <c r="C35" s="14" t="s">
        <v>68</v>
      </c>
      <c r="D35" s="14" t="s">
        <v>99</v>
      </c>
      <c r="E35" s="14">
        <v>140</v>
      </c>
      <c r="F35" s="14">
        <f t="shared" si="3"/>
        <v>25.2</v>
      </c>
      <c r="G35" s="14">
        <f t="shared" si="2"/>
        <v>165.2</v>
      </c>
      <c r="H35" s="14">
        <v>0.5</v>
      </c>
      <c r="I35" s="15">
        <f t="shared" si="1"/>
        <v>12.6</v>
      </c>
      <c r="J35" s="16">
        <f t="shared" si="0"/>
        <v>82.6</v>
      </c>
    </row>
    <row r="36" spans="1:10" ht="15.75" thickBot="1" x14ac:dyDescent="0.3">
      <c r="A36" s="31" t="s">
        <v>75</v>
      </c>
      <c r="B36" s="32"/>
      <c r="C36" s="32"/>
      <c r="D36" s="32"/>
      <c r="E36" s="33"/>
      <c r="F36" s="2">
        <f>SUM(F3:F35)</f>
        <v>4978.3296000000009</v>
      </c>
      <c r="G36" s="2">
        <f>SUM(G3:G35)</f>
        <v>76554.049600000013</v>
      </c>
      <c r="H36" s="2"/>
      <c r="I36" s="3">
        <f>SUM(I3:I35)</f>
        <v>18722.082000000002</v>
      </c>
      <c r="J36" s="17">
        <f>SUM(J3:J35)</f>
        <v>311341.9819999999</v>
      </c>
    </row>
    <row r="37" spans="1:10" x14ac:dyDescent="0.25">
      <c r="H37" t="s">
        <v>76</v>
      </c>
      <c r="J37" s="18">
        <v>2000</v>
      </c>
    </row>
    <row r="38" spans="1:10" x14ac:dyDescent="0.25">
      <c r="J38" s="19">
        <f>J36*9%</f>
        <v>28020.778379999989</v>
      </c>
    </row>
    <row r="39" spans="1:10" x14ac:dyDescent="0.25">
      <c r="J39" s="19">
        <f>J36+J37+J38</f>
        <v>341362.76037999988</v>
      </c>
    </row>
  </sheetData>
  <mergeCells count="2">
    <mergeCell ref="A1:J1"/>
    <mergeCell ref="A36:E36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7" workbookViewId="0">
      <selection activeCell="B4" sqref="B4"/>
    </sheetView>
  </sheetViews>
  <sheetFormatPr defaultRowHeight="15" x14ac:dyDescent="0.25"/>
  <cols>
    <col min="1" max="1" width="6" customWidth="1"/>
    <col min="2" max="2" width="32.140625" bestFit="1" customWidth="1"/>
    <col min="3" max="3" width="22.28515625" customWidth="1"/>
    <col min="4" max="4" width="18.85546875" customWidth="1"/>
    <col min="5" max="5" width="12" customWidth="1"/>
    <col min="6" max="6" width="10.7109375" customWidth="1"/>
    <col min="7" max="7" width="10.85546875" customWidth="1"/>
    <col min="8" max="9" width="11" customWidth="1"/>
    <col min="10" max="10" width="13.140625" customWidth="1"/>
    <col min="13" max="13" width="12" bestFit="1" customWidth="1"/>
  </cols>
  <sheetData>
    <row r="1" spans="1:16" ht="48.75" customHeight="1" thickBot="1" x14ac:dyDescent="0.3">
      <c r="A1" s="28" t="s">
        <v>121</v>
      </c>
      <c r="B1" s="29"/>
      <c r="C1" s="29"/>
      <c r="D1" s="29"/>
      <c r="E1" s="29"/>
      <c r="F1" s="29"/>
      <c r="G1" s="29"/>
      <c r="H1" s="29"/>
      <c r="I1" s="29"/>
      <c r="J1" s="30"/>
    </row>
    <row r="2" spans="1:16" ht="15.7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</row>
    <row r="3" spans="1:16" x14ac:dyDescent="0.25">
      <c r="A3" s="5">
        <v>1</v>
      </c>
      <c r="B3" s="26" t="s">
        <v>148</v>
      </c>
      <c r="C3" s="6" t="s">
        <v>151</v>
      </c>
      <c r="D3" s="6" t="s">
        <v>120</v>
      </c>
      <c r="E3" s="6">
        <v>14310</v>
      </c>
      <c r="F3" s="6">
        <f>E3*5%</f>
        <v>715.5</v>
      </c>
      <c r="G3" s="6">
        <f>E3+F3</f>
        <v>15025.5</v>
      </c>
      <c r="H3" s="6">
        <v>18</v>
      </c>
      <c r="I3" s="7">
        <f>F3*H3</f>
        <v>12879</v>
      </c>
      <c r="J3" s="8">
        <f t="shared" ref="J3:J35" si="0">G3*H3</f>
        <v>270459</v>
      </c>
    </row>
    <row r="4" spans="1:16" x14ac:dyDescent="0.25">
      <c r="A4" s="9">
        <v>2</v>
      </c>
      <c r="B4" s="25" t="s">
        <v>14</v>
      </c>
      <c r="C4" s="10" t="s">
        <v>15</v>
      </c>
      <c r="D4" s="10" t="s">
        <v>122</v>
      </c>
      <c r="E4" s="27">
        <v>47500</v>
      </c>
      <c r="F4" s="6">
        <f>E4*5%</f>
        <v>2375</v>
      </c>
      <c r="G4" s="6">
        <f>E4+F4</f>
        <v>49875</v>
      </c>
      <c r="H4" s="10">
        <v>1</v>
      </c>
      <c r="I4" s="7">
        <f t="shared" ref="I4:I35" si="1">F4*H4</f>
        <v>2375</v>
      </c>
      <c r="J4" s="8">
        <f t="shared" si="0"/>
        <v>49875</v>
      </c>
    </row>
    <row r="5" spans="1:16" x14ac:dyDescent="0.25">
      <c r="A5" s="9">
        <v>3</v>
      </c>
      <c r="B5" s="25" t="s">
        <v>17</v>
      </c>
      <c r="C5" s="10" t="s">
        <v>18</v>
      </c>
      <c r="D5" s="10" t="s">
        <v>19</v>
      </c>
      <c r="E5" s="27">
        <v>1490</v>
      </c>
      <c r="F5" s="10">
        <f>E5*18%</f>
        <v>268.2</v>
      </c>
      <c r="G5" s="6">
        <f>E5+F5</f>
        <v>1758.2</v>
      </c>
      <c r="H5" s="10">
        <v>7</v>
      </c>
      <c r="I5" s="7">
        <f t="shared" si="1"/>
        <v>1877.3999999999999</v>
      </c>
      <c r="J5" s="8">
        <f t="shared" si="0"/>
        <v>12307.4</v>
      </c>
    </row>
    <row r="6" spans="1:16" x14ac:dyDescent="0.25">
      <c r="A6" s="5">
        <v>4</v>
      </c>
      <c r="B6" s="11" t="s">
        <v>20</v>
      </c>
      <c r="C6" s="10" t="s">
        <v>18</v>
      </c>
      <c r="D6" s="10">
        <v>0</v>
      </c>
      <c r="E6" s="27">
        <v>1870</v>
      </c>
      <c r="F6" s="10">
        <f>E6*18%</f>
        <v>336.59999999999997</v>
      </c>
      <c r="G6" s="6">
        <f t="shared" ref="G6:G35" si="2">E6+F6</f>
        <v>2206.6</v>
      </c>
      <c r="H6" s="10">
        <v>0</v>
      </c>
      <c r="I6" s="7">
        <f t="shared" si="1"/>
        <v>0</v>
      </c>
      <c r="J6" s="8">
        <f t="shared" si="0"/>
        <v>0</v>
      </c>
    </row>
    <row r="7" spans="1:16" x14ac:dyDescent="0.25">
      <c r="A7" s="9">
        <v>5</v>
      </c>
      <c r="B7" s="25" t="s">
        <v>21</v>
      </c>
      <c r="C7" s="10" t="s">
        <v>18</v>
      </c>
      <c r="D7" s="10" t="s">
        <v>123</v>
      </c>
      <c r="E7" s="27">
        <v>1135</v>
      </c>
      <c r="F7" s="10">
        <f>E7*18%</f>
        <v>204.29999999999998</v>
      </c>
      <c r="G7" s="6">
        <f t="shared" si="2"/>
        <v>1339.3</v>
      </c>
      <c r="H7" s="10">
        <v>6</v>
      </c>
      <c r="I7" s="7">
        <f t="shared" si="1"/>
        <v>1225.8</v>
      </c>
      <c r="J7" s="8">
        <f t="shared" si="0"/>
        <v>8035.7999999999993</v>
      </c>
    </row>
    <row r="8" spans="1:16" x14ac:dyDescent="0.25">
      <c r="A8" s="9">
        <v>6</v>
      </c>
      <c r="B8" s="25" t="s">
        <v>147</v>
      </c>
      <c r="C8" s="10" t="s">
        <v>23</v>
      </c>
      <c r="D8" s="10" t="s">
        <v>95</v>
      </c>
      <c r="E8" s="27">
        <v>100</v>
      </c>
      <c r="F8" s="10">
        <f t="shared" ref="F8:F35" si="3">E8*18%</f>
        <v>18</v>
      </c>
      <c r="G8" s="6">
        <f t="shared" si="2"/>
        <v>118</v>
      </c>
      <c r="H8" s="10">
        <v>3</v>
      </c>
      <c r="I8" s="7">
        <f t="shared" si="1"/>
        <v>54</v>
      </c>
      <c r="J8" s="8">
        <f t="shared" si="0"/>
        <v>354</v>
      </c>
    </row>
    <row r="9" spans="1:16" x14ac:dyDescent="0.25">
      <c r="A9" s="5">
        <v>7</v>
      </c>
      <c r="B9" s="25" t="s">
        <v>25</v>
      </c>
      <c r="C9" s="10" t="s">
        <v>26</v>
      </c>
      <c r="D9" s="10" t="s">
        <v>125</v>
      </c>
      <c r="E9" s="27">
        <v>4</v>
      </c>
      <c r="F9" s="10">
        <f t="shared" si="3"/>
        <v>0.72</v>
      </c>
      <c r="G9" s="6">
        <f t="shared" si="2"/>
        <v>4.72</v>
      </c>
      <c r="H9" s="10">
        <v>18</v>
      </c>
      <c r="I9" s="7">
        <f t="shared" si="1"/>
        <v>12.959999999999999</v>
      </c>
      <c r="J9" s="8">
        <f t="shared" si="0"/>
        <v>84.96</v>
      </c>
    </row>
    <row r="10" spans="1:16" x14ac:dyDescent="0.25">
      <c r="A10" s="9">
        <v>8</v>
      </c>
      <c r="B10" s="25" t="s">
        <v>28</v>
      </c>
      <c r="C10" s="10" t="s">
        <v>29</v>
      </c>
      <c r="D10" s="10" t="s">
        <v>126</v>
      </c>
      <c r="E10" s="27">
        <v>10</v>
      </c>
      <c r="F10" s="10">
        <f t="shared" si="3"/>
        <v>1.7999999999999998</v>
      </c>
      <c r="G10" s="6">
        <f t="shared" si="2"/>
        <v>11.8</v>
      </c>
      <c r="H10" s="10">
        <v>64</v>
      </c>
      <c r="I10" s="7">
        <f t="shared" si="1"/>
        <v>115.19999999999999</v>
      </c>
      <c r="J10" s="8">
        <f t="shared" si="0"/>
        <v>755.2</v>
      </c>
      <c r="N10" s="21"/>
    </row>
    <row r="11" spans="1:16" x14ac:dyDescent="0.25">
      <c r="A11" s="9">
        <v>9</v>
      </c>
      <c r="B11" s="25" t="s">
        <v>31</v>
      </c>
      <c r="C11" s="10" t="s">
        <v>32</v>
      </c>
      <c r="D11" s="10" t="s">
        <v>127</v>
      </c>
      <c r="E11" s="27">
        <v>9</v>
      </c>
      <c r="F11" s="10">
        <f t="shared" si="3"/>
        <v>1.6199999999999999</v>
      </c>
      <c r="G11" s="6">
        <f t="shared" si="2"/>
        <v>10.62</v>
      </c>
      <c r="H11" s="10">
        <v>30</v>
      </c>
      <c r="I11" s="7">
        <f t="shared" si="1"/>
        <v>48.599999999999994</v>
      </c>
      <c r="J11" s="8">
        <f t="shared" si="0"/>
        <v>318.59999999999997</v>
      </c>
      <c r="N11" s="20"/>
    </row>
    <row r="12" spans="1:16" x14ac:dyDescent="0.25">
      <c r="A12" s="5">
        <v>10</v>
      </c>
      <c r="B12" s="11" t="s">
        <v>34</v>
      </c>
      <c r="C12" s="10" t="s">
        <v>35</v>
      </c>
      <c r="D12" s="10">
        <v>0</v>
      </c>
      <c r="E12" s="27">
        <v>27</v>
      </c>
      <c r="F12" s="10">
        <f t="shared" si="3"/>
        <v>4.8599999999999994</v>
      </c>
      <c r="G12" s="6">
        <f t="shared" si="2"/>
        <v>31.86</v>
      </c>
      <c r="H12" s="10">
        <v>0</v>
      </c>
      <c r="I12" s="7">
        <f t="shared" si="1"/>
        <v>0</v>
      </c>
      <c r="J12" s="8">
        <f t="shared" si="0"/>
        <v>0</v>
      </c>
    </row>
    <row r="13" spans="1:16" x14ac:dyDescent="0.25">
      <c r="A13" s="5">
        <v>11</v>
      </c>
      <c r="B13" s="25" t="s">
        <v>88</v>
      </c>
      <c r="C13" s="10" t="s">
        <v>89</v>
      </c>
      <c r="D13" s="10" t="s">
        <v>128</v>
      </c>
      <c r="E13" s="27">
        <v>21</v>
      </c>
      <c r="F13" s="10">
        <f t="shared" si="3"/>
        <v>3.78</v>
      </c>
      <c r="G13" s="6">
        <f t="shared" si="2"/>
        <v>24.78</v>
      </c>
      <c r="H13" s="10">
        <v>15</v>
      </c>
      <c r="I13" s="7">
        <f t="shared" si="1"/>
        <v>56.699999999999996</v>
      </c>
      <c r="J13" s="8">
        <f t="shared" si="0"/>
        <v>371.70000000000005</v>
      </c>
    </row>
    <row r="14" spans="1:16" x14ac:dyDescent="0.25">
      <c r="A14" s="5">
        <v>12</v>
      </c>
      <c r="B14" s="25" t="s">
        <v>37</v>
      </c>
      <c r="C14" s="10" t="s">
        <v>149</v>
      </c>
      <c r="D14" s="10" t="s">
        <v>124</v>
      </c>
      <c r="E14" s="27">
        <v>150</v>
      </c>
      <c r="F14" s="10">
        <f t="shared" si="3"/>
        <v>27</v>
      </c>
      <c r="G14" s="6">
        <f t="shared" si="2"/>
        <v>177</v>
      </c>
      <c r="H14" s="10">
        <v>2</v>
      </c>
      <c r="I14" s="7">
        <f t="shared" si="1"/>
        <v>54</v>
      </c>
      <c r="J14" s="8">
        <f t="shared" si="0"/>
        <v>354</v>
      </c>
    </row>
    <row r="15" spans="1:16" x14ac:dyDescent="0.25">
      <c r="A15" s="5">
        <v>13</v>
      </c>
      <c r="B15" s="11" t="s">
        <v>39</v>
      </c>
      <c r="C15" s="10" t="s">
        <v>40</v>
      </c>
      <c r="D15" s="10" t="s">
        <v>41</v>
      </c>
      <c r="E15" s="27">
        <v>170</v>
      </c>
      <c r="F15" s="10">
        <f t="shared" si="3"/>
        <v>30.599999999999998</v>
      </c>
      <c r="G15" s="6">
        <f t="shared" si="2"/>
        <v>200.6</v>
      </c>
      <c r="H15" s="10">
        <v>3</v>
      </c>
      <c r="I15" s="7">
        <f t="shared" si="1"/>
        <v>91.8</v>
      </c>
      <c r="J15" s="8">
        <f t="shared" si="0"/>
        <v>601.79999999999995</v>
      </c>
      <c r="P15" s="24"/>
    </row>
    <row r="16" spans="1:16" x14ac:dyDescent="0.25">
      <c r="A16" s="5">
        <v>14</v>
      </c>
      <c r="B16" s="11" t="s">
        <v>42</v>
      </c>
      <c r="C16" s="10" t="s">
        <v>43</v>
      </c>
      <c r="D16" s="10" t="s">
        <v>124</v>
      </c>
      <c r="E16" s="27">
        <v>35</v>
      </c>
      <c r="F16" s="10">
        <f t="shared" si="3"/>
        <v>6.3</v>
      </c>
      <c r="G16" s="6">
        <f t="shared" si="2"/>
        <v>41.3</v>
      </c>
      <c r="H16" s="10">
        <v>6</v>
      </c>
      <c r="I16" s="7">
        <f t="shared" si="1"/>
        <v>37.799999999999997</v>
      </c>
      <c r="J16" s="8">
        <f t="shared" si="0"/>
        <v>247.79999999999998</v>
      </c>
    </row>
    <row r="17" spans="1:14" x14ac:dyDescent="0.25">
      <c r="A17" s="5">
        <v>15</v>
      </c>
      <c r="B17" s="11" t="s">
        <v>45</v>
      </c>
      <c r="C17" s="10" t="s">
        <v>46</v>
      </c>
      <c r="D17" s="10" t="s">
        <v>24</v>
      </c>
      <c r="E17" s="27">
        <v>2350</v>
      </c>
      <c r="F17" s="10">
        <f t="shared" si="3"/>
        <v>423</v>
      </c>
      <c r="G17" s="10">
        <f t="shared" si="2"/>
        <v>2773</v>
      </c>
      <c r="H17" s="10">
        <v>1</v>
      </c>
      <c r="I17" s="7">
        <f t="shared" si="1"/>
        <v>423</v>
      </c>
      <c r="J17" s="12">
        <f t="shared" si="0"/>
        <v>2773</v>
      </c>
    </row>
    <row r="18" spans="1:14" x14ac:dyDescent="0.25">
      <c r="A18" s="5">
        <v>16</v>
      </c>
      <c r="B18" s="11" t="s">
        <v>47</v>
      </c>
      <c r="C18" s="10" t="s">
        <v>46</v>
      </c>
      <c r="D18" s="10" t="s">
        <v>24</v>
      </c>
      <c r="E18" s="27">
        <v>2150</v>
      </c>
      <c r="F18" s="10">
        <f t="shared" si="3"/>
        <v>387</v>
      </c>
      <c r="G18" s="10">
        <f t="shared" si="2"/>
        <v>2537</v>
      </c>
      <c r="H18" s="10">
        <v>1</v>
      </c>
      <c r="I18" s="7">
        <f t="shared" si="1"/>
        <v>387</v>
      </c>
      <c r="J18" s="12">
        <f t="shared" si="0"/>
        <v>2537</v>
      </c>
    </row>
    <row r="19" spans="1:14" x14ac:dyDescent="0.25">
      <c r="A19" s="5">
        <v>17</v>
      </c>
      <c r="B19" s="11" t="s">
        <v>48</v>
      </c>
      <c r="C19" s="10" t="s">
        <v>149</v>
      </c>
      <c r="D19" s="10" t="s">
        <v>50</v>
      </c>
      <c r="E19" s="27">
        <v>500</v>
      </c>
      <c r="F19" s="10">
        <f t="shared" si="3"/>
        <v>90</v>
      </c>
      <c r="G19" s="10">
        <f t="shared" si="2"/>
        <v>590</v>
      </c>
      <c r="H19" s="10">
        <v>1</v>
      </c>
      <c r="I19" s="7">
        <f t="shared" si="1"/>
        <v>90</v>
      </c>
      <c r="J19" s="12">
        <f t="shared" si="0"/>
        <v>590</v>
      </c>
    </row>
    <row r="20" spans="1:14" x14ac:dyDescent="0.25">
      <c r="A20" s="5">
        <v>18</v>
      </c>
      <c r="B20" s="11" t="s">
        <v>51</v>
      </c>
      <c r="C20" s="10" t="s">
        <v>149</v>
      </c>
      <c r="D20" s="10" t="s">
        <v>41</v>
      </c>
      <c r="E20" s="27">
        <v>85</v>
      </c>
      <c r="F20" s="10">
        <f t="shared" si="3"/>
        <v>15.299999999999999</v>
      </c>
      <c r="G20" s="10">
        <f t="shared" si="2"/>
        <v>100.3</v>
      </c>
      <c r="H20" s="10">
        <v>1</v>
      </c>
      <c r="I20" s="7">
        <f t="shared" si="1"/>
        <v>15.299999999999999</v>
      </c>
      <c r="J20" s="12">
        <f t="shared" si="0"/>
        <v>100.3</v>
      </c>
    </row>
    <row r="21" spans="1:14" x14ac:dyDescent="0.25">
      <c r="A21" s="5">
        <v>19</v>
      </c>
      <c r="B21" s="11" t="s">
        <v>52</v>
      </c>
      <c r="C21" s="10" t="s">
        <v>53</v>
      </c>
      <c r="D21" s="10" t="s">
        <v>146</v>
      </c>
      <c r="E21" s="27">
        <v>54</v>
      </c>
      <c r="F21" s="10">
        <f t="shared" si="3"/>
        <v>9.7199999999999989</v>
      </c>
      <c r="G21" s="10">
        <f t="shared" si="2"/>
        <v>63.72</v>
      </c>
      <c r="H21" s="10">
        <v>25</v>
      </c>
      <c r="I21" s="7">
        <f t="shared" si="1"/>
        <v>242.99999999999997</v>
      </c>
      <c r="J21" s="12">
        <f t="shared" si="0"/>
        <v>1593</v>
      </c>
    </row>
    <row r="22" spans="1:14" x14ac:dyDescent="0.25">
      <c r="A22" s="5">
        <v>20</v>
      </c>
      <c r="B22" s="11" t="s">
        <v>52</v>
      </c>
      <c r="C22" s="10" t="s">
        <v>55</v>
      </c>
      <c r="D22" s="10" t="s">
        <v>146</v>
      </c>
      <c r="E22" s="27">
        <v>54</v>
      </c>
      <c r="F22" s="10">
        <f t="shared" si="3"/>
        <v>9.7199999999999989</v>
      </c>
      <c r="G22" s="10">
        <f t="shared" si="2"/>
        <v>63.72</v>
      </c>
      <c r="H22" s="10">
        <v>25</v>
      </c>
      <c r="I22" s="7">
        <f t="shared" si="1"/>
        <v>242.99999999999997</v>
      </c>
      <c r="J22" s="12">
        <f t="shared" si="0"/>
        <v>1593</v>
      </c>
    </row>
    <row r="23" spans="1:14" x14ac:dyDescent="0.25">
      <c r="A23" s="5">
        <v>21</v>
      </c>
      <c r="B23" s="11" t="s">
        <v>150</v>
      </c>
      <c r="C23" s="10" t="s">
        <v>53</v>
      </c>
      <c r="D23" s="10" t="s">
        <v>97</v>
      </c>
      <c r="E23" s="27">
        <v>50</v>
      </c>
      <c r="F23" s="10">
        <f t="shared" si="3"/>
        <v>9</v>
      </c>
      <c r="G23" s="10">
        <f t="shared" si="2"/>
        <v>59</v>
      </c>
      <c r="H23" s="10">
        <v>15</v>
      </c>
      <c r="I23" s="7">
        <f t="shared" si="1"/>
        <v>135</v>
      </c>
      <c r="J23" s="12">
        <f t="shared" si="0"/>
        <v>885</v>
      </c>
    </row>
    <row r="24" spans="1:14" x14ac:dyDescent="0.25">
      <c r="A24" s="5">
        <v>22</v>
      </c>
      <c r="B24" s="11" t="s">
        <v>150</v>
      </c>
      <c r="C24" s="10" t="s">
        <v>55</v>
      </c>
      <c r="D24" s="10" t="s">
        <v>97</v>
      </c>
      <c r="E24" s="27">
        <v>50</v>
      </c>
      <c r="F24" s="10">
        <f t="shared" si="3"/>
        <v>9</v>
      </c>
      <c r="G24" s="10">
        <f t="shared" si="2"/>
        <v>59</v>
      </c>
      <c r="H24" s="10">
        <v>15</v>
      </c>
      <c r="I24" s="7">
        <f t="shared" si="1"/>
        <v>135</v>
      </c>
      <c r="J24" s="12">
        <f t="shared" si="0"/>
        <v>885</v>
      </c>
    </row>
    <row r="25" spans="1:14" x14ac:dyDescent="0.25">
      <c r="A25" s="5">
        <v>23</v>
      </c>
      <c r="B25" s="11" t="s">
        <v>150</v>
      </c>
      <c r="C25" s="10" t="s">
        <v>143</v>
      </c>
      <c r="D25" s="10" t="s">
        <v>142</v>
      </c>
      <c r="E25" s="27">
        <v>50</v>
      </c>
      <c r="F25" s="10">
        <f t="shared" si="3"/>
        <v>9</v>
      </c>
      <c r="G25" s="10">
        <f t="shared" si="2"/>
        <v>59</v>
      </c>
      <c r="H25" s="10">
        <v>10</v>
      </c>
      <c r="I25" s="7">
        <f t="shared" si="1"/>
        <v>90</v>
      </c>
      <c r="J25" s="12">
        <f t="shared" si="0"/>
        <v>590</v>
      </c>
    </row>
    <row r="26" spans="1:14" x14ac:dyDescent="0.25">
      <c r="A26" s="5">
        <v>24</v>
      </c>
      <c r="B26" s="11" t="s">
        <v>150</v>
      </c>
      <c r="C26" s="10" t="s">
        <v>144</v>
      </c>
      <c r="D26" s="10" t="s">
        <v>142</v>
      </c>
      <c r="E26" s="27">
        <v>50</v>
      </c>
      <c r="F26" s="10">
        <f t="shared" si="3"/>
        <v>9</v>
      </c>
      <c r="G26" s="10">
        <f t="shared" si="2"/>
        <v>59</v>
      </c>
      <c r="H26" s="10">
        <v>10</v>
      </c>
      <c r="I26" s="7">
        <f t="shared" si="1"/>
        <v>90</v>
      </c>
      <c r="J26" s="12">
        <f t="shared" si="0"/>
        <v>590</v>
      </c>
    </row>
    <row r="27" spans="1:14" x14ac:dyDescent="0.25">
      <c r="A27" s="5">
        <v>25</v>
      </c>
      <c r="B27" s="11" t="s">
        <v>57</v>
      </c>
      <c r="C27" s="10" t="s">
        <v>58</v>
      </c>
      <c r="D27" s="10" t="s">
        <v>54</v>
      </c>
      <c r="E27" s="27">
        <v>22.77</v>
      </c>
      <c r="F27" s="10">
        <f t="shared" si="3"/>
        <v>4.0985999999999994</v>
      </c>
      <c r="G27" s="10">
        <f t="shared" si="2"/>
        <v>26.868600000000001</v>
      </c>
      <c r="H27" s="10">
        <v>20</v>
      </c>
      <c r="I27" s="7">
        <f t="shared" si="1"/>
        <v>81.97199999999998</v>
      </c>
      <c r="J27" s="12">
        <f t="shared" si="0"/>
        <v>537.37200000000007</v>
      </c>
      <c r="N27" s="21"/>
    </row>
    <row r="28" spans="1:14" ht="30" x14ac:dyDescent="0.25">
      <c r="A28" s="5">
        <v>26</v>
      </c>
      <c r="B28" s="23" t="s">
        <v>59</v>
      </c>
      <c r="C28" s="10" t="s">
        <v>58</v>
      </c>
      <c r="D28" s="10" t="s">
        <v>60</v>
      </c>
      <c r="E28" s="27">
        <v>31.35</v>
      </c>
      <c r="F28" s="10">
        <f t="shared" si="3"/>
        <v>5.6429999999999998</v>
      </c>
      <c r="G28" s="10">
        <f t="shared" si="2"/>
        <v>36.993000000000002</v>
      </c>
      <c r="H28" s="10">
        <v>30</v>
      </c>
      <c r="I28" s="7">
        <f t="shared" si="1"/>
        <v>169.29</v>
      </c>
      <c r="J28" s="12">
        <f t="shared" si="0"/>
        <v>1109.79</v>
      </c>
      <c r="N28" s="20"/>
    </row>
    <row r="29" spans="1:14" x14ac:dyDescent="0.25">
      <c r="A29" s="5">
        <v>27</v>
      </c>
      <c r="B29" s="23" t="s">
        <v>61</v>
      </c>
      <c r="C29" s="10" t="s">
        <v>53</v>
      </c>
      <c r="D29" s="10" t="s">
        <v>24</v>
      </c>
      <c r="E29" s="27">
        <v>0</v>
      </c>
      <c r="F29" s="10">
        <f t="shared" si="3"/>
        <v>0</v>
      </c>
      <c r="G29" s="10">
        <f t="shared" si="2"/>
        <v>0</v>
      </c>
      <c r="H29" s="10">
        <v>1</v>
      </c>
      <c r="I29" s="7">
        <f t="shared" si="1"/>
        <v>0</v>
      </c>
      <c r="J29" s="12">
        <f t="shared" si="0"/>
        <v>0</v>
      </c>
    </row>
    <row r="30" spans="1:14" x14ac:dyDescent="0.25">
      <c r="A30" s="5">
        <v>28</v>
      </c>
      <c r="B30" s="25" t="s">
        <v>62</v>
      </c>
      <c r="C30" s="10" t="s">
        <v>63</v>
      </c>
      <c r="D30" s="10" t="s">
        <v>95</v>
      </c>
      <c r="E30" s="10">
        <v>25</v>
      </c>
      <c r="F30" s="10">
        <f t="shared" si="3"/>
        <v>4.5</v>
      </c>
      <c r="G30" s="10">
        <f t="shared" si="2"/>
        <v>29.5</v>
      </c>
      <c r="H30" s="10">
        <v>3</v>
      </c>
      <c r="I30" s="7">
        <f t="shared" si="1"/>
        <v>13.5</v>
      </c>
      <c r="J30" s="12">
        <f t="shared" si="0"/>
        <v>88.5</v>
      </c>
    </row>
    <row r="31" spans="1:14" x14ac:dyDescent="0.25">
      <c r="A31" s="5">
        <v>29</v>
      </c>
      <c r="B31" s="11" t="s">
        <v>64</v>
      </c>
      <c r="C31" s="10" t="s">
        <v>65</v>
      </c>
      <c r="D31" s="10" t="s">
        <v>66</v>
      </c>
      <c r="E31" s="10">
        <v>90</v>
      </c>
      <c r="F31" s="10">
        <f t="shared" si="3"/>
        <v>16.2</v>
      </c>
      <c r="G31" s="10">
        <f t="shared" si="2"/>
        <v>106.2</v>
      </c>
      <c r="H31" s="10">
        <v>1</v>
      </c>
      <c r="I31" s="7">
        <f t="shared" si="1"/>
        <v>16.2</v>
      </c>
      <c r="J31" s="12">
        <f t="shared" si="0"/>
        <v>106.2</v>
      </c>
    </row>
    <row r="32" spans="1:14" x14ac:dyDescent="0.25">
      <c r="A32" s="5">
        <v>30</v>
      </c>
      <c r="B32" s="11" t="s">
        <v>67</v>
      </c>
      <c r="C32" s="10" t="s">
        <v>68</v>
      </c>
      <c r="D32" s="10" t="s">
        <v>69</v>
      </c>
      <c r="E32" s="10">
        <v>37</v>
      </c>
      <c r="F32" s="10">
        <f t="shared" si="3"/>
        <v>6.66</v>
      </c>
      <c r="G32" s="10">
        <f t="shared" si="2"/>
        <v>43.66</v>
      </c>
      <c r="H32" s="10">
        <v>10</v>
      </c>
      <c r="I32" s="7">
        <f t="shared" si="1"/>
        <v>66.599999999999994</v>
      </c>
      <c r="J32" s="12">
        <f t="shared" si="0"/>
        <v>436.59999999999997</v>
      </c>
    </row>
    <row r="33" spans="1:10" x14ac:dyDescent="0.25">
      <c r="A33" s="5">
        <v>31</v>
      </c>
      <c r="B33" s="11" t="s">
        <v>70</v>
      </c>
      <c r="C33" s="10" t="s">
        <v>68</v>
      </c>
      <c r="D33" s="10" t="s">
        <v>98</v>
      </c>
      <c r="E33" s="10">
        <v>2.5</v>
      </c>
      <c r="F33" s="10">
        <f t="shared" si="3"/>
        <v>0.44999999999999996</v>
      </c>
      <c r="G33" s="10">
        <f t="shared" si="2"/>
        <v>2.95</v>
      </c>
      <c r="H33" s="10">
        <v>25</v>
      </c>
      <c r="I33" s="7">
        <f t="shared" si="1"/>
        <v>11.249999999999998</v>
      </c>
      <c r="J33" s="12">
        <f t="shared" si="0"/>
        <v>73.75</v>
      </c>
    </row>
    <row r="34" spans="1:10" x14ac:dyDescent="0.25">
      <c r="A34" s="5">
        <v>32</v>
      </c>
      <c r="B34" s="11" t="s">
        <v>72</v>
      </c>
      <c r="C34" s="10" t="s">
        <v>68</v>
      </c>
      <c r="D34" s="10" t="s">
        <v>73</v>
      </c>
      <c r="E34" s="10">
        <v>3.1</v>
      </c>
      <c r="F34" s="10">
        <f t="shared" si="3"/>
        <v>0.55799999999999994</v>
      </c>
      <c r="G34" s="10">
        <f t="shared" si="2"/>
        <v>3.6579999999999999</v>
      </c>
      <c r="H34" s="10">
        <v>5</v>
      </c>
      <c r="I34" s="7">
        <f t="shared" si="1"/>
        <v>2.7899999999999996</v>
      </c>
      <c r="J34" s="12">
        <f t="shared" si="0"/>
        <v>18.29</v>
      </c>
    </row>
    <row r="35" spans="1:10" ht="15.75" thickBot="1" x14ac:dyDescent="0.3">
      <c r="A35" s="5">
        <v>33</v>
      </c>
      <c r="B35" s="22" t="s">
        <v>74</v>
      </c>
      <c r="C35" s="14" t="s">
        <v>68</v>
      </c>
      <c r="D35" s="14" t="s">
        <v>99</v>
      </c>
      <c r="E35" s="14">
        <v>140</v>
      </c>
      <c r="F35" s="14">
        <f t="shared" si="3"/>
        <v>25.2</v>
      </c>
      <c r="G35" s="14">
        <f t="shared" si="2"/>
        <v>165.2</v>
      </c>
      <c r="H35" s="14">
        <v>0.5</v>
      </c>
      <c r="I35" s="15">
        <f t="shared" si="1"/>
        <v>12.6</v>
      </c>
      <c r="J35" s="16">
        <f t="shared" si="0"/>
        <v>82.6</v>
      </c>
    </row>
    <row r="36" spans="1:10" ht="15.75" thickBot="1" x14ac:dyDescent="0.3">
      <c r="A36" s="31" t="s">
        <v>75</v>
      </c>
      <c r="B36" s="32"/>
      <c r="C36" s="32"/>
      <c r="D36" s="32"/>
      <c r="E36" s="33"/>
      <c r="F36" s="2">
        <f>SUM(F3:F35)</f>
        <v>5028.3296000000009</v>
      </c>
      <c r="G36" s="2">
        <f>SUM(G3:G35)</f>
        <v>77604.049600000013</v>
      </c>
      <c r="H36" s="2"/>
      <c r="I36" s="3">
        <f>SUM(I3:I35)</f>
        <v>21053.761999999999</v>
      </c>
      <c r="J36" s="17">
        <f>SUM(J3:J35)</f>
        <v>358354.66199999989</v>
      </c>
    </row>
    <row r="37" spans="1:10" x14ac:dyDescent="0.25">
      <c r="H37" t="s">
        <v>76</v>
      </c>
      <c r="J37" s="18">
        <v>2000</v>
      </c>
    </row>
    <row r="38" spans="1:10" x14ac:dyDescent="0.25">
      <c r="J38" s="19">
        <f>J36*9%</f>
        <v>32251.919579999991</v>
      </c>
    </row>
    <row r="39" spans="1:10" x14ac:dyDescent="0.25">
      <c r="J39" s="19">
        <f>J36+J37+J38</f>
        <v>392606.58157999988</v>
      </c>
    </row>
  </sheetData>
  <mergeCells count="2">
    <mergeCell ref="A1:J1"/>
    <mergeCell ref="A36:E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KIT COSTING</vt:lpstr>
      <vt:lpstr>4 P</vt:lpstr>
      <vt:lpstr>5 P</vt:lpstr>
      <vt:lpstr>6 P</vt:lpstr>
      <vt:lpstr>7 P</vt:lpstr>
      <vt:lpstr>8 P</vt:lpstr>
      <vt:lpstr>9 P</vt:lpstr>
      <vt:lpstr>10 P</vt:lpstr>
      <vt:lpstr>11 P</vt:lpstr>
      <vt:lpstr>12 P</vt:lpstr>
      <vt:lpstr>13 P</vt:lpstr>
      <vt:lpstr>16 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HIGHLIGHT</dc:creator>
  <cp:lastModifiedBy>HIGHLIGHT</cp:lastModifiedBy>
  <dcterms:created xsi:type="dcterms:W3CDTF">2026-05-29T05:18:17Z</dcterms:created>
  <dcterms:modified xsi:type="dcterms:W3CDTF">2026-05-30T05:46:54Z</dcterms:modified>
</cp:coreProperties>
</file>